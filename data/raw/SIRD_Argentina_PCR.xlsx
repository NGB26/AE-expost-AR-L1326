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5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Parametros" sheetId="2" state="visible" r:id="rId4"/>
    <sheet name="Tramos_Beta" sheetId="3" state="visible" r:id="rId5"/>
    <sheet name="Datos_OWID" sheetId="4" state="visible" r:id="rId6"/>
    <sheet name="Modelo_SIRD" sheetId="5" state="visible" r:id="rId7"/>
    <sheet name="Deteccion" sheetId="6" state="visible" r:id="rId8"/>
    <sheet name="Calibracion" sheetId="7" state="visible" r:id="rId9"/>
    <sheet name="Sensibilidad" sheetId="8" state="visible" r:id="rId10"/>
    <sheet name="Fuen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<sst xmlns="http://schemas.openxmlformats.org/spreadsheetml/2006/main" count="293" uniqueCount="276">
  <si>
    <t xml:space="preserve">MODELO SIRD — ARGENTINA COVID-19</t>
  </si>
  <si>
    <t xml:space="preserve">Insumo para el PCR de AR-L1326 (Respuesta a la Emergencia de Salud Publica COVID-19)</t>
  </si>
  <si>
    <t xml:space="preserve">QUE HACE ESTE LIBRO</t>
  </si>
  <si>
    <t xml:space="preserve">Integra un modelo compartimental SIRD (Susceptible-Infeccioso-Recuperado-Fallecido) sobre</t>
  </si>
  <si>
    <t xml:space="preserve">paso semanal, calibrado contra la mortalidad observada en Argentina entre marzo 2020 y junio 2022.</t>
  </si>
  <si>
    <t xml:space="preserve">Todas las celdas de calculo son formulas vivas: al cambiar un parametro, el modelo recalcula.</t>
  </si>
  <si>
    <t xml:space="preserve">QUE NO HACE</t>
  </si>
  <si>
    <t xml:space="preserve">NO estima el efecto causal del prestamo BID sobre la epidemia. El beta(t) calibrado captura</t>
  </si>
  <si>
    <t xml:space="preserve">TODAS las intervenciones simultaneas (ASPO, fronteras, vacunacion con fondos propios, COVAX,</t>
  </si>
  <si>
    <t xml:space="preserve">otros prestamos multilaterales, capacidad preexistente). Atribuir la trayectoria completa al</t>
  </si>
  <si>
    <t xml:space="preserve">prestamo seria incorrecto y OVE lo observaria.</t>
  </si>
  <si>
    <t xml:space="preserve">El uso legitimo para la seccion de EFECTIVIDAD es el canal de deteccion del Componente 2:</t>
  </si>
  <si>
    <t xml:space="preserve">cuantificar cuanto cambio la tasa de deteccion entre el periodo previo y posterior a la</t>
  </si>
  <si>
    <t xml:space="preserve">ampliacion de la red de laboratorios (Producto 2.20: 35 laboratorios equipados).</t>
  </si>
  <si>
    <t xml:space="preserve">ORDEN DE LAS HOJAS</t>
  </si>
  <si>
    <t xml:space="preserve">  1. LEEME                  Este documento</t>
  </si>
  <si>
    <t xml:space="preserve">  2. Parametros             Supuestos biologicos y de atribucion. AQUI se edita.</t>
  </si>
  <si>
    <t xml:space="preserve">  3. Tramos_Beta            beta(t) por tramo de politica. AQUI se calibra.</t>
  </si>
  <si>
    <t xml:space="preserve">  4. Datos_OWID             Serie semanal observada (Our World in Data)</t>
  </si>
  <si>
    <t xml:space="preserve">  5. Modelo_SIRD            Integracion de Euler. NO editar: son formulas.</t>
  </si>
  <si>
    <t xml:space="preserve">  6. Deteccion              Tasa de deteccion implicita por periodo</t>
  </si>
  <si>
    <t xml:space="preserve">  7. Calibracion            Error de ajuste y guia para el Solver</t>
  </si>
  <si>
    <t xml:space="preserve">  8. Sensibilidad           Grilla de escenarios</t>
  </si>
  <si>
    <t xml:space="preserve">  9. Fuentes                Referencias bibliograficas completas</t>
  </si>
  <si>
    <t xml:space="preserve">CODIGO DE COLORES</t>
  </si>
  <si>
    <t xml:space="preserve">  Texto AZUL      = input hardcodeado, se puede editar</t>
  </si>
  <si>
    <t xml:space="preserve">  Texto NEGRO     = formula, no editar</t>
  </si>
  <si>
    <t xml:space="preserve">  Texto VERDE     = referencia a otra hoja</t>
  </si>
  <si>
    <t xml:space="preserve">  Relleno AMARILLO = parametro clave / pendiente de completar</t>
  </si>
  <si>
    <t xml:space="preserve">COMO CALIBRAR</t>
  </si>
  <si>
    <t xml:space="preserve">Ver la hoja 'Calibracion'. En resumen: Solver -&gt; minimizar el SSE de la celda objetivo</t>
  </si>
  <si>
    <t xml:space="preserve">cambiando las 11 celdas de beta en la hoja Tramos_Beta, con restricciones 0.01 &lt;= beta &lt;= 2.</t>
  </si>
  <si>
    <t xml:space="preserve">ADVERTENCIA SOBRE LA CALIBRACION</t>
  </si>
  <si>
    <t xml:space="preserve">Se ajusta contra MUERTES, no contra casos confirmados. Razon: la positividad en Argentina</t>
  </si>
  <si>
    <t xml:space="preserve">llego al 66%, muy por encima del umbral OMS de 5% para vigilancia adecuada. Los casos</t>
  </si>
  <si>
    <t xml:space="preserve">confirmados son funcion de la capacidad de testeo tanto como de la incidencia real.</t>
  </si>
  <si>
    <t xml:space="preserve">PARAMETROS DEL MODELO</t>
  </si>
  <si>
    <t xml:space="preserve">Parametro</t>
  </si>
  <si>
    <t xml:space="preserve">Valor</t>
  </si>
  <si>
    <t xml:space="preserve">Min</t>
  </si>
  <si>
    <t xml:space="preserve">Max</t>
  </si>
  <si>
    <t xml:space="preserve">Unidad</t>
  </si>
  <si>
    <t xml:space="preserve">Fuente / Justificacion</t>
  </si>
  <si>
    <t xml:space="preserve">DEMOGRAFIA Y CONDICIONES INICIALES</t>
  </si>
  <si>
    <t xml:space="preserve">Poblacion Argentina (N)</t>
  </si>
  <si>
    <t xml:space="preserve">personas</t>
  </si>
  <si>
    <t xml:space="preserve">OWID / INDEC 2020. Serie 'population'.</t>
  </si>
  <si>
    <t xml:space="preserve">Fraccion susceptible inicial (S0/N)</t>
  </si>
  <si>
    <t xml:space="preserve">fraccion</t>
  </si>
  <si>
    <t xml:space="preserve">Se adopta 1.00. El analisis ex ante y Borracchi&amp;Giglio asumen 0.90 ('10% con inmunidad natural'); ese supuesto no tiene respaldo empirico y la evidencia serologica posterior lo contradice.</t>
  </si>
  <si>
    <t xml:space="preserve">Infecciosos iniciales (I0)</t>
  </si>
  <si>
    <t xml:space="preserve">Semilla al 08-mar-2020. El analisis ex ante usa 1 caso; con paso semanal y subregistro inicial, 100 es mas plausible.</t>
  </si>
  <si>
    <t xml:space="preserve">PARAMETROS BIOLOGICOS (SE FIJAN, NO SE ESTIMAN)</t>
  </si>
  <si>
    <t xml:space="preserve">Con series agregadas no es posible identificar simultaneamente beta, gamma e IFR: distintas combinaciones producen curvas casi identicas.</t>
  </si>
  <si>
    <t xml:space="preserve">Duracion del periodo infeccioso (D)</t>
  </si>
  <si>
    <t xml:space="preserve">dias</t>
  </si>
  <si>
    <t xml:space="preserve">Consenso post-pandemia. NOTA: el analisis ex ante usa D=14; Borracchi&amp;Giglio usan gamma=0.33 (~3 dias), valor de marzo 2020 hoy considerado bajo.</t>
  </si>
  <si>
    <t xml:space="preserve">IFR base pre-vacunacion</t>
  </si>
  <si>
    <t xml:space="preserve">Meta-analisis de seroprevalencia. CRITICO: es IFR (sobre infecciones), no CFR (sobre casos). El analisis ex ante aplica CFR de Wu&amp;McGoogan (2020) a los infectados del SIR, lo que sobrestima la mortalidad.</t>
  </si>
  <si>
    <t xml:space="preserve">Rezago infeccion -&gt; muerte</t>
  </si>
  <si>
    <t xml:space="preserve">semanas</t>
  </si>
  <si>
    <t xml:space="preserve">19 dias segun meta-analisis, redondeado a 3 semanas por el paso del modelo.</t>
  </si>
  <si>
    <t xml:space="preserve">Efectividad vacunal contra muerte</t>
  </si>
  <si>
    <t xml:space="preserve">Promedio ponderado del mix argentino. Lancet Reg Health Am (2023), test-negative, 83.708 hospitalizados AR/BR/CL/CO. Ver hoja Fuentes.</t>
  </si>
  <si>
    <t xml:space="preserve">PARAMETROS DERIVADOS</t>
  </si>
  <si>
    <t xml:space="preserve">gamma (tasa de recuperacion, semanal)</t>
  </si>
  <si>
    <t xml:space="preserve">1/semana</t>
  </si>
  <si>
    <t xml:space="preserve">Calculado como 7 dias / D. Con D=10 dias, gamma = 0.70 por semana.</t>
  </si>
  <si>
    <t xml:space="preserve">S0 (susceptibles iniciales)</t>
  </si>
  <si>
    <t xml:space="preserve">ATRIBUCION AL PRESTAMO (para efectividad / eficiencia)</t>
  </si>
  <si>
    <t xml:space="preserve">Dosis financiadas por el prestamo</t>
  </si>
  <si>
    <t xml:space="preserve">dosis</t>
  </si>
  <si>
    <t xml:space="preserve">Producto 3.40, matriz de productos AR-L1326. Dato verificado.</t>
  </si>
  <si>
    <t xml:space="preserve">Dosis totales aplicadas en Argentina</t>
  </si>
  <si>
    <t xml:space="preserve">OWID 'total_vaccinations' al 05-jun-2022. Dato verificado.</t>
  </si>
  <si>
    <t xml:space="preserve">Fraccion atribuible al prestamo</t>
  </si>
  <si>
    <t xml:space="preserve">ADVERTENCIA: el prorrateo lineal supone efecto marginal igual para toda dosis. No es cierto: las primeras dosis fueron a grupos priorizados (60+, personal de salud) y evitaron mas muertes por dosis. Usar como estimacion CONSERVADORA.</t>
  </si>
  <si>
    <t xml:space="preserve">Muertes evitadas por vacunacion en Argentina</t>
  </si>
  <si>
    <t xml:space="preserve">muertes</t>
  </si>
  <si>
    <t xml:space="preserve">PENDIENTE: extraer de la Tabla 1 de Open Forum Infect Dis 2024;11(10):ofae528. NO prorratear el total regional (610k-2.61M para 17 paises) por poblacion.</t>
  </si>
  <si>
    <t xml:space="preserve">Muertes evitadas atribuibles al prestamo</t>
  </si>
  <si>
    <t xml:space="preserve">Se completa automaticamente al cargar la celda anterior.</t>
  </si>
  <si>
    <t xml:space="preserve">LEYENDA</t>
  </si>
  <si>
    <t xml:space="preserve">Celda con relleno amarillo: pendiente de completar</t>
  </si>
  <si>
    <t xml:space="preserve">Celda con relleno azul: parametro clave para sensibilidad</t>
  </si>
  <si>
    <t xml:space="preserve">BETA(t) POR TRAMOS DE POLITICA</t>
  </si>
  <si>
    <t xml:space="preserve">Cronologia de NPI segun Romo &amp; Ojeda-Galaviz (2021) Fig.10, IJERPH 18(1):73, complementada con hitos de ejecucion del prestamo.</t>
  </si>
  <si>
    <t xml:space="preserve">#</t>
  </si>
  <si>
    <t xml:space="preserve">Hito de politica</t>
  </si>
  <si>
    <t xml:space="preserve">Fecha inicio</t>
  </si>
  <si>
    <t xml:space="preserve">Semana ini</t>
  </si>
  <si>
    <t xml:space="preserve">Semana fin</t>
  </si>
  <si>
    <t xml:space="preserve">beta</t>
  </si>
  <si>
    <t xml:space="preserve">R0 efectivo</t>
  </si>
  <si>
    <t xml:space="preserve">Fuente</t>
  </si>
  <si>
    <t xml:space="preserve">Pre-intervencion</t>
  </si>
  <si>
    <t xml:space="preserve">Primer caso 03-mar-2020</t>
  </si>
  <si>
    <t xml:space="preserve">Cierre fronteras + ASPO (Dto 297/20)</t>
  </si>
  <si>
    <t xml:space="preserve">IJERPH Fig.10. Agrupa 4 medidas del 12 al 20-mar: el paso semanal no las resuelve.</t>
  </si>
  <si>
    <t xml:space="preserve">DISPO / flexibilizacion</t>
  </si>
  <si>
    <t xml:space="preserve">Contexto</t>
  </si>
  <si>
    <t xml:space="preserve">Relajamiento primavera-verano</t>
  </si>
  <si>
    <t xml:space="preserve">Inicio vacunacion</t>
  </si>
  <si>
    <t xml:space="preserve">OWID</t>
  </si>
  <si>
    <t xml:space="preserve">Segunda ola / restricciones</t>
  </si>
  <si>
    <t xml:space="preserve">Vacunacion masiva</t>
  </si>
  <si>
    <t xml:space="preserve">MdR ind. 3.3</t>
  </si>
  <si>
    <t xml:space="preserve">Omicron</t>
  </si>
  <si>
    <t xml:space="preserve">Post-Omicron</t>
  </si>
  <si>
    <t xml:space="preserve">Los valores de beta en amarillo son los que ajusta el Solver. Los valores actuales YA ESTAN CALIBRADOS (L-BFGS-B sobre la serie de mortalidad): SSE=163.0, error en muertes acumuladas -13.9%, tasa de ataque 42.9%.</t>
  </si>
  <si>
    <t xml:space="preserve">NOTA: las medidas del 12 al 20-mar-2020 (suspension de actividades, cierre de fronteras, ASPO) se agrupan en un solo tramo: ocurrieron en 12 dias y el paso semanal no permite identificarlas por separado.</t>
  </si>
  <si>
    <t xml:space="preserve">R0 efectivo = beta / gamma. Interpretacion: casos secundarios por caso en poblacion totalmente susceptible.</t>
  </si>
  <si>
    <t xml:space="preserve">DATOS OBSERVADOS — OUR WORLD IN DATA</t>
  </si>
  <si>
    <t xml:space="preserve">Argentina, agregacion semanal (domingo). Descargado de github.com/owid/covid-19-data. Serie: 08-mar-2020 a 05-jun-2022.</t>
  </si>
  <si>
    <t xml:space="preserve">Semana</t>
  </si>
  <si>
    <t xml:space="preserve">Fecha</t>
  </si>
  <si>
    <t xml:space="preserve">Casos</t>
  </si>
  <si>
    <t xml:space="preserve">Muertes</t>
  </si>
  <si>
    <t xml:space="preserve">Tests</t>
  </si>
  <si>
    <t xml:space="preserve">Positividad</t>
  </si>
  <si>
    <t xml:space="preserve">Rt OWID</t>
  </si>
  <si>
    <t xml:space="preserve">Vacunados compl.</t>
  </si>
  <si>
    <t xml:space="preserve">Total muertes en la serie: 128,889 | Total casos: 9,230,573 | Positividad maxima: 65%</t>
  </si>
  <si>
    <t xml:space="preserve">La positividad supero ampliamente el umbral OMS de 5%, lo que confirma subregistro severo y justifica calibrar contra mortalidad.</t>
  </si>
  <si>
    <t xml:space="preserve">MODELO SIRD — INTEGRACION DE EULER (PASO SEMANAL)</t>
  </si>
  <si>
    <t xml:space="preserve">dS/dt = -beta*S*I/N   |   dI/dt = beta*S*I/N - gamma*I   |   dR/dt = gamma*(1-ifr)*I   |   dD/dt = gamma*ifr*I</t>
  </si>
  <si>
    <t xml:space="preserve">La mortalidad se modela como fraccion de las SALIDAS del compartimento I, no como tasa independiente: asi gamma controla la duracion y el IFR la severidad.</t>
  </si>
  <si>
    <t xml:space="preserve">NO EDITAR las columnas D a N: son formulas. Para cambiar el modelo, editar Parametros o Tramos_Beta.</t>
  </si>
  <si>
    <t xml:space="preserve">Sem</t>
  </si>
  <si>
    <t xml:space="preserve">beta(t)</t>
  </si>
  <si>
    <t xml:space="preserve">Cobertura vac.</t>
  </si>
  <si>
    <t xml:space="preserve">IFR(t)</t>
  </si>
  <si>
    <t xml:space="preserve">S</t>
  </si>
  <si>
    <t xml:space="preserve">I</t>
  </si>
  <si>
    <t xml:space="preserve">R</t>
  </si>
  <si>
    <t xml:space="preserve">D</t>
  </si>
  <si>
    <t xml:space="preserve">Nuevas infecc.</t>
  </si>
  <si>
    <t xml:space="preserve">Muertes sem.</t>
  </si>
  <si>
    <t xml:space="preserve">Muertes c/rezago</t>
  </si>
  <si>
    <t xml:space="preserve">Rt</t>
  </si>
  <si>
    <t xml:space="preserve">TOTALES</t>
  </si>
  <si>
    <t xml:space="preserve">Infecciones acumuladas (modelo)</t>
  </si>
  <si>
    <t xml:space="preserve">Muertes acumuladas (modelo)</t>
  </si>
  <si>
    <t xml:space="preserve">Muertes acumuladas (observadas)</t>
  </si>
  <si>
    <t xml:space="preserve">Tasa de ataque (infectados / poblacion)</t>
  </si>
  <si>
    <t xml:space="preserve">Factor de subregistro (infecciones modelo / casos reportados)</t>
  </si>
  <si>
    <t xml:space="preserve">Referencia: 8.5 (mediana de 91 paises, Rahmandad et al. 2020). Un valor muy alejado sugiere revisar el IFR.</t>
  </si>
  <si>
    <t xml:space="preserve">TASA DE DETECCION IMPLICITA</t>
  </si>
  <si>
    <t xml:space="preserve">Metrica clave para vincular el Componente 2 (Producto 2.20: 35 laboratorios equipados) con el Resultado 2.1.</t>
  </si>
  <si>
    <t xml:space="preserve">Deteccion = casos reportados / infecciones estimadas por el modelo.</t>
  </si>
  <si>
    <t xml:space="preserve">Casos reportados</t>
  </si>
  <si>
    <t xml:space="preserve">Infecc. modelo</t>
  </si>
  <si>
    <t xml:space="preserve">Tasa deteccion</t>
  </si>
  <si>
    <t xml:space="preserve">RESUMEN POR PERIODO</t>
  </si>
  <si>
    <t xml:space="preserve">Los cortes reflejan la cronologia de equipamiento de laboratorios del Componente 2 (17 labs en 2020, 35 acumulados en 2021).</t>
  </si>
  <si>
    <t xml:space="preserve">Periodo</t>
  </si>
  <si>
    <t xml:space="preserve">Sem. desde</t>
  </si>
  <si>
    <t xml:space="preserve">Sem. hasta</t>
  </si>
  <si>
    <t xml:space="preserve">Deteccion media</t>
  </si>
  <si>
    <t xml:space="preserve">Positividad media</t>
  </si>
  <si>
    <t xml:space="preserve">Tests promedio</t>
  </si>
  <si>
    <t xml:space="preserve">1. Mar-Jun 2020 (pre-ampliacion de red)</t>
  </si>
  <si>
    <t xml:space="preserve">2. Jul-Dic 2020 (17 labs equipados)</t>
  </si>
  <si>
    <t xml:space="preserve">3. Ene-Jun 2021 (35 labs equipados)</t>
  </si>
  <si>
    <t xml:space="preserve">4. Jul-Dic 2021</t>
  </si>
  <si>
    <t xml:space="preserve">5. 2022 (Omicron)</t>
  </si>
  <si>
    <t xml:space="preserve">CONTRAFACTUAL DE DETECCION</t>
  </si>
  <si>
    <t xml:space="preserve">Supuesto: la tasa de deteccion se hubiera mantenido en el nivel del periodo 1 (previo a la ampliacion de la red de laboratorios).</t>
  </si>
  <si>
    <t xml:space="preserve">Deteccion de referencia (periodo 1)</t>
  </si>
  <si>
    <t xml:space="preserve">Infecciones estimadas desde la semana 18</t>
  </si>
  <si>
    <t xml:space="preserve">Casos que se habrian detectado a la tasa de referencia</t>
  </si>
  <si>
    <t xml:space="preserve">Casos efectivamente detectados desde la semana 18</t>
  </si>
  <si>
    <t xml:space="preserve">Casos adicionales detectados por la capacidad ampliada</t>
  </si>
  <si>
    <t xml:space="preserve">ADVERTENCIA: este contrafactual atribuye TODA la mejora de deteccion a la ampliacion de la red de laboratorios.</t>
  </si>
  <si>
    <t xml:space="preserve">Argentina amplio capacidad por multiples vias (tests de antigenos, laboratorios privados, financiamiento propio). El prestamo financio 35 labs sobre una red mayor.</t>
  </si>
  <si>
    <t xml:space="preserve">DECLARAR como cota superior, no como estimacion central.</t>
  </si>
  <si>
    <t xml:space="preserve">LECTURA PARA EL PCR</t>
  </si>
  <si>
    <t xml:space="preserve">El salto de deteccion entre el periodo 2 (17 labs) y el periodo 3 (35 labs) es el dato relevante para el Componente 2. Comparar ambas filas del resumen.</t>
  </si>
  <si>
    <t xml:space="preserve">CALIBRACION DEL MODELO</t>
  </si>
  <si>
    <t xml:space="preserve">FUNCION OBJETIVO</t>
  </si>
  <si>
    <t xml:space="preserve">Error cuadratico sobre log(muertes+1). El log pondera proporcionalmente y evita que las olas grandes dominen el ajuste de las pequenas.</t>
  </si>
  <si>
    <t xml:space="preserve">Muertes obs.</t>
  </si>
  <si>
    <t xml:space="preserve">Muertes modelo</t>
  </si>
  <si>
    <t xml:space="preserve">log(obs+1)</t>
  </si>
  <si>
    <t xml:space="preserve">log(mod+1)</t>
  </si>
  <si>
    <t xml:space="preserve">Error^2</t>
  </si>
  <si>
    <t xml:space="preserve">CELDA OBJETIVO (SSE)</t>
  </si>
  <si>
    <t xml:space="preserve">&lt;-- MINIMIZAR ESTA CELDA CON EL SOLVER</t>
  </si>
  <si>
    <t xml:space="preserve">RMSE en escala log</t>
  </si>
  <si>
    <t xml:space="preserve">Error relativo en muertes acumuladas</t>
  </si>
  <si>
    <t xml:space="preserve">Un ajuste aceptable tiene error relativo dentro de +/-15%.</t>
  </si>
  <si>
    <t xml:space="preserve">INSTRUCCIONES PARA EL SOLVER</t>
  </si>
  <si>
    <t xml:space="preserve">1. Activar el complemento: Archivo &gt; Opciones &gt; Complementos &gt; Administrar 'Complementos de Excel'</t>
  </si>
  <si>
    <t xml:space="preserve">   &gt; Ir... &gt; tildar 'Solver' &gt; Aceptar. (En Mac: Herramientas &gt; Complementos de Excel.)</t>
  </si>
  <si>
    <t xml:space="preserve">2. Datos &gt; Solver. Configurar:</t>
  </si>
  <si>
    <t xml:space="preserve">      Establecer objetivo:   $D$127   (en esta hoja)</t>
  </si>
  <si>
    <t xml:space="preserve">      Para:                  Min</t>
  </si>
  <si>
    <t xml:space="preserve">      Cambiando celdas:      Tramos_Beta!$G$6:$G$14</t>
  </si>
  <si>
    <t xml:space="preserve">3. Restricciones (Agregar):</t>
  </si>
  <si>
    <t xml:space="preserve">      Tramos_Beta!$G$6:$G$14  &gt;=  0.01</t>
  </si>
  <si>
    <t xml:space="preserve">      Tramos_Beta!$G$6:$G$14  &lt;=  2.00</t>
  </si>
  <si>
    <t xml:space="preserve">4. Metodo de resolucion: GRG Nonlinear</t>
  </si>
  <si>
    <t xml:space="preserve">   Tildar 'Convertir variables sin restricciones en no negativas'</t>
  </si>
  <si>
    <t xml:space="preserve">   Opciones &gt; Convergencia: 0.0001 | Tiempo maximo: 300 seg</t>
  </si>
  <si>
    <t xml:space="preserve">5. Resolver. Si converge a un optimo local pobre (error relativo &gt; 30%), probar:</t>
  </si>
  <si>
    <t xml:space="preserve">      - 'Usar inicio multiple' en Opciones &gt; GRG Nonlinear</t>
  </si>
  <si>
    <t xml:space="preserve">      - o reiniciar las semillas de beta a 0.7 y volver a correr</t>
  </si>
  <si>
    <t xml:space="preserve">6. Validar el resultado:</t>
  </si>
  <si>
    <t xml:space="preserve">      - Error relativo en muertes acumuladas dentro de +/-15%</t>
  </si>
  <si>
    <t xml:space="preserve">      - Comparar Rt del modelo contra Rt de OWID (grafico en Modelo_SIRD)</t>
  </si>
  <si>
    <t xml:space="preserve">      - Factor de subregistro cercano al rango de literatura (3 a 22)</t>
  </si>
  <si>
    <t xml:space="preserve">      - Ningun beta con R0 efectivo mayor a 8 (implausible)</t>
  </si>
  <si>
    <t xml:space="preserve">ADVERTENCIA SOBRE SOBREAJUSTE</t>
  </si>
  <si>
    <t xml:space="preserve">Con 11 parametros libres y 118 observaciones el modelo puede ajustar bien por razones equivocadas.</t>
  </si>
  <si>
    <t xml:space="preserve">Los tramos estan anclados en hitos de politica verificables, no elegidos para mejorar el ajuste. No agregar tramos para bajar el SSE.</t>
  </si>
  <si>
    <t xml:space="preserve">ANALISIS DE SENSIBILIDAD</t>
  </si>
  <si>
    <t xml:space="preserve">OVE va a pedir esto. Completar corriendo el modelo con cada combinacion y pegando los resultados.</t>
  </si>
  <si>
    <t xml:space="preserve">ESCENARIO ACTUAL (lectura automatica)</t>
  </si>
  <si>
    <t xml:space="preserve">IFR base</t>
  </si>
  <si>
    <t xml:space="preserve">Duracion infecciosa (dias)</t>
  </si>
  <si>
    <t xml:space="preserve">VE contra muerte</t>
  </si>
  <si>
    <t xml:space="preserve">Infecciones acumuladas</t>
  </si>
  <si>
    <t xml:space="preserve">Tasa de ataque</t>
  </si>
  <si>
    <t xml:space="preserve">Muertes modeladas</t>
  </si>
  <si>
    <t xml:space="preserve">GRILLA DE ESCENARIOS</t>
  </si>
  <si>
    <t xml:space="preserve">Procedimiento: cambiar los parametros en la hoja Parametros, correr el Solver, y pegar los resultados en esta tabla.</t>
  </si>
  <si>
    <t xml:space="preserve">Escenario</t>
  </si>
  <si>
    <t xml:space="preserve">IFR</t>
  </si>
  <si>
    <t xml:space="preserve">D (dias)</t>
  </si>
  <si>
    <t xml:space="preserve">VE</t>
  </si>
  <si>
    <t xml:space="preserve">Infecciones acum.</t>
  </si>
  <si>
    <t xml:space="preserve">SSE final</t>
  </si>
  <si>
    <t xml:space="preserve">Central</t>
  </si>
  <si>
    <t xml:space="preserve">IFR bajo</t>
  </si>
  <si>
    <t xml:space="preserve">IFR alto</t>
  </si>
  <si>
    <t xml:space="preserve">D corto</t>
  </si>
  <si>
    <t xml:space="preserve">D largo</t>
  </si>
  <si>
    <t xml:space="preserve">VE baja</t>
  </si>
  <si>
    <t xml:space="preserve">VE alta</t>
  </si>
  <si>
    <t xml:space="preserve">Pesimista (IFR alto + D largo)</t>
  </si>
  <si>
    <t xml:space="preserve">Optimista (IFR bajo + D corto)</t>
  </si>
  <si>
    <t xml:space="preserve">Las celdas amarillas se completan manualmente tras cada corrida del Solver.</t>
  </si>
  <si>
    <t xml:space="preserve">Reportar en el PCR el RANGO de la tasa de ataque, no solo el valor central.</t>
  </si>
  <si>
    <t xml:space="preserve">FUENTES Y REFERENCIAS</t>
  </si>
  <si>
    <t xml:space="preserve">DATOS</t>
  </si>
  <si>
    <t xml:space="preserve">Our World in Data — COVID-19</t>
  </si>
  <si>
    <t xml:space="preserve">Serie diaria de Argentina agregada a semanal. Descargado de github.com/owid/covid-19-data/blob/master/public/data/owid-covid-data.csv</t>
  </si>
  <si>
    <t xml:space="preserve">Poblacion</t>
  </si>
  <si>
    <t xml:space="preserve">45.510.324 (OWID/INDEC 2020)</t>
  </si>
  <si>
    <t xml:space="preserve">EFECTIVIDAD VACUNAL</t>
  </si>
  <si>
    <t xml:space="preserve">Lancet Regional Health - Americas (2023)</t>
  </si>
  <si>
    <t xml:space="preserve">'The effectiveness of COVID-19 vaccines in Latin America, 2021: a multicenter regional case-control study'. Test-negative, 83.708 adultos hospitalizados en AR/BR/CL/CO, feb-dic 2021. VE contra muerte: BNT162b2 82% (IC 69-90), ChAdOx1 73% (69-77), CoronaVac 65% (60-67), Sputnik V 38% (IC -75 a 78). https://www.sciencedirect.com/science/article/pii/S2667193X23000480</t>
  </si>
  <si>
    <t xml:space="preserve">ADVERTENCIA Sputnik V</t>
  </si>
  <si>
    <t xml:space="preserve">El IC cruza el cero. Argentina uso Sputnik intensivamente en 2021. Si el mix de dosis del prestamo lo incluye en proporcion significativa, la incertidumbre sobre muertes evitadas es alta y debe reportarse.</t>
  </si>
  <si>
    <t xml:space="preserve">MUERTES EVITADAS POR VACUNACION</t>
  </si>
  <si>
    <t xml:space="preserve">Open Forum Infectious Diseases 11(10):ofae528 (2024)</t>
  </si>
  <si>
    <t xml:space="preserve">'Estimated Deaths Averted in Adults by COVID-19 Vaccination in Select Latin American and Caribbean Countries'. 17 paises incluida Argentina, ene 2021 - may 2022. Tras ajustar por subregistro estima mas de 1,49 millones de muertes por COVID-19 en esos paises; sin vacunacion proyecta entre 2,10 y 4,11 millones, de modo que la vacunacion evito entre 610.000 y 2,61 millones de muertes. https://academic.oup.com/ofid/article/11/10/ofae528/7754719</t>
  </si>
  <si>
    <t xml:space="preserve">ACCION PENDIENTE</t>
  </si>
  <si>
    <t xml:space="preserve">Bajar la Tabla 1 del paper (desagrega por pais) y extraer el valor de Argentina. NO prorratear el total regional por poblacion: supondria homogeneidad en cobertura y estructura etaria que no se cumple entre los 17 paises.</t>
  </si>
  <si>
    <t xml:space="preserve">SUBREGISTRO Y TASA DE DETECCION</t>
  </si>
  <si>
    <t xml:space="preserve">Rahmandad et al. (2020)</t>
  </si>
  <si>
    <t xml:space="preserve">'Behavioral dynamics of COVID-19: estimating under-reporting, multiple waves, and adherence fatigue across 91 nations'. Ratio mediano casos reales/reportados = 8.5, rango intercuartilico 3.2-22 entre percentiles 10 y 90. https://www.medrxiv.org/content/10.1101/2020.06.24.20139451v3.full</t>
  </si>
  <si>
    <t xml:space="preserve">Umbral OMS de positividad</t>
  </si>
  <si>
    <t xml:space="preserve">La positividad deberia mantenerse por debajo de 5% para considerar que la vigilancia captura adecuadamente la dinamica. En Argentina llego a 66%.</t>
  </si>
  <si>
    <t xml:space="preserve">CRONOLOGIA DE INTERVENCIONES</t>
  </si>
  <si>
    <t xml:space="preserve">Romo &amp; Ojeda-Galaviz (2021)</t>
  </si>
  <si>
    <t xml:space="preserve">'It Takes More than Two to Tango with COVID-19: Analyzing Argentina's Early Pandemic Response (Jan 2020-April 2020)'. Int J Environ Res Public Health 18(1):73. Figura 10: cronologia de intervenciones no farmacologicas. https://doi.org/10.3390/ijerph18010073</t>
  </si>
  <si>
    <t xml:space="preserve">Divergencias adoptadas</t>
  </si>
  <si>
    <t xml:space="preserve">Este modelo NO adopta dos supuestos de ese paper (tomados de Borracchi &amp; Giglio 2020): (a) gamma=0.33 (~3 dias de periodo infeccioso), valor de marzo 2020 hoy considerado bajo; (b) S0=0.9*N ('10% con inmunidad natural'), conjetura sin respaldo empirico que la evidencia serologica posterior contradice.</t>
  </si>
  <si>
    <t xml:space="preserve">DOCUMENTOS DEL PRESTAMO</t>
  </si>
  <si>
    <t xml:space="preserve">Matriz de Resultados (MdR_CNVG.xlsx)</t>
  </si>
  <si>
    <t xml:space="preserve">Indicador 2.1: 35 laboratorios incorporados a la Red (meta 10). Indicador 2.3: 1 laboratorio acreditado en calidad (meta 9). Indicador 3.3: 11.517.714 personas vacunadas (meta 2.000.000).</t>
  </si>
  <si>
    <t xml:space="preserve">Matriz de Productos (AR_L1326_Outputs_Physical_Progress.xls)</t>
  </si>
  <si>
    <t xml:space="preserve">Producto 2.20: 35 laboratorios equipados. Producto 3.40: 22.459.300 dosis recibidas.</t>
  </si>
  <si>
    <t xml:space="preserve">Analisis economico ex ante (DLP_EEO1)</t>
  </si>
  <si>
    <t xml:space="preserve">SIR con R0=2.2 (contrafactual) y Re=1.12 (tratamiento), poblacion vulnerable de 1M, D=14 dias, retraso de 50 dias. B/C=3.42, VAN=US$60.269.575. Monetiza solo absentismo laboral y capital humano en edad laboral.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</si>
</sst>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0"/>
    <numFmt numFmtId="167" formatCode="0"/>
    <numFmt numFmtId="168" formatCode="0.0000"/>
    <numFmt numFmtId="169" formatCode="0.0%"/>
    <numFmt numFmtId="170" formatCode="dd/mm/yyyy"/>
    <numFmt numFmtId="171" formatCode="General"/>
    <numFmt numFmtId="172" formatCode="0.00000"/>
    <numFmt numFmtId="173" formatCode="0.0"/>
    <numFmt numFmtId="174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Muertes semanales: observadas vs. modelo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Datos_OWID!E5</c:f>
              <c:strCache>
                <c:ptCount val="1"/>
                <c:pt idx="0">
                  <c:v>Muertes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Datos_OWID!$E$6:$E$123</c:f>
              <c:numCache>
                <c:formatCode>#,##0</c:formatCode>
                <c:ptCount val="118"/>
                <c:pt idx="0">
                  <c:v>1</c:v>
                </c:pt>
                <c:pt idx="1">
                  <c:v>8</c:v>
                </c:pt>
                <c:pt idx="2">
                  <c:v>11</c:v>
                </c:pt>
                <c:pt idx="3">
                  <c:v>50</c:v>
                </c:pt>
                <c:pt idx="4">
                  <c:v>61</c:v>
                </c:pt>
                <c:pt idx="5">
                  <c:v>74</c:v>
                </c:pt>
                <c:pt idx="6">
                  <c:v>74</c:v>
                </c:pt>
                <c:pt idx="7">
                  <c:v>132</c:v>
                </c:pt>
                <c:pt idx="8">
                  <c:v>115</c:v>
                </c:pt>
                <c:pt idx="9">
                  <c:v>120</c:v>
                </c:pt>
                <c:pt idx="10">
                  <c:v>144</c:v>
                </c:pt>
                <c:pt idx="11">
                  <c:v>219</c:v>
                </c:pt>
                <c:pt idx="12">
                  <c:v>297</c:v>
                </c:pt>
                <c:pt idx="13">
                  <c:v>358</c:v>
                </c:pt>
                <c:pt idx="14">
                  <c:v>458</c:v>
                </c:pt>
                <c:pt idx="15">
                  <c:v>602</c:v>
                </c:pt>
                <c:pt idx="16">
                  <c:v>776</c:v>
                </c:pt>
                <c:pt idx="17">
                  <c:v>903</c:v>
                </c:pt>
                <c:pt idx="18">
                  <c:v>1153</c:v>
                </c:pt>
                <c:pt idx="19">
                  <c:v>1374</c:v>
                </c:pt>
                <c:pt idx="20">
                  <c:v>1544</c:v>
                </c:pt>
                <c:pt idx="21">
                  <c:v>1456</c:v>
                </c:pt>
                <c:pt idx="22">
                  <c:v>1762</c:v>
                </c:pt>
                <c:pt idx="23">
                  <c:v>1662</c:v>
                </c:pt>
                <c:pt idx="24">
                  <c:v>1877</c:v>
                </c:pt>
                <c:pt idx="25">
                  <c:v>2260</c:v>
                </c:pt>
                <c:pt idx="26">
                  <c:v>2324</c:v>
                </c:pt>
                <c:pt idx="27">
                  <c:v>2446</c:v>
                </c:pt>
                <c:pt idx="28">
                  <c:v>2340</c:v>
                </c:pt>
                <c:pt idx="29">
                  <c:v>2456</c:v>
                </c:pt>
                <c:pt idx="30">
                  <c:v>2523</c:v>
                </c:pt>
                <c:pt idx="31">
                  <c:v>2602</c:v>
                </c:pt>
                <c:pt idx="32">
                  <c:v>2449</c:v>
                </c:pt>
                <c:pt idx="33">
                  <c:v>2348</c:v>
                </c:pt>
                <c:pt idx="34">
                  <c:v>1854</c:v>
                </c:pt>
                <c:pt idx="35">
                  <c:v>1683</c:v>
                </c:pt>
                <c:pt idx="36">
                  <c:v>1452</c:v>
                </c:pt>
                <c:pt idx="37">
                  <c:v>1170</c:v>
                </c:pt>
                <c:pt idx="38">
                  <c:v>943</c:v>
                </c:pt>
                <c:pt idx="39">
                  <c:v>862</c:v>
                </c:pt>
                <c:pt idx="40">
                  <c:v>795</c:v>
                </c:pt>
                <c:pt idx="41">
                  <c:v>910</c:v>
                </c:pt>
                <c:pt idx="42">
                  <c:v>859</c:v>
                </c:pt>
                <c:pt idx="43">
                  <c:v>1103</c:v>
                </c:pt>
                <c:pt idx="44">
                  <c:v>1415</c:v>
                </c:pt>
                <c:pt idx="45">
                  <c:v>1300</c:v>
                </c:pt>
                <c:pt idx="46">
                  <c:v>1260</c:v>
                </c:pt>
                <c:pt idx="47">
                  <c:v>1131</c:v>
                </c:pt>
                <c:pt idx="48">
                  <c:v>948</c:v>
                </c:pt>
                <c:pt idx="49">
                  <c:v>935</c:v>
                </c:pt>
                <c:pt idx="50">
                  <c:v>797</c:v>
                </c:pt>
                <c:pt idx="51">
                  <c:v>831</c:v>
                </c:pt>
                <c:pt idx="52">
                  <c:v>884</c:v>
                </c:pt>
                <c:pt idx="53">
                  <c:v>977</c:v>
                </c:pt>
                <c:pt idx="54">
                  <c:v>994</c:v>
                </c:pt>
                <c:pt idx="55">
                  <c:v>1259</c:v>
                </c:pt>
                <c:pt idx="56">
                  <c:v>1654</c:v>
                </c:pt>
                <c:pt idx="57">
                  <c:v>2619</c:v>
                </c:pt>
                <c:pt idx="58">
                  <c:v>3293</c:v>
                </c:pt>
                <c:pt idx="59">
                  <c:v>3470</c:v>
                </c:pt>
                <c:pt idx="60">
                  <c:v>3115</c:v>
                </c:pt>
                <c:pt idx="61">
                  <c:v>3189</c:v>
                </c:pt>
                <c:pt idx="62">
                  <c:v>3641</c:v>
                </c:pt>
                <c:pt idx="63">
                  <c:v>4516</c:v>
                </c:pt>
                <c:pt idx="64">
                  <c:v>4339</c:v>
                </c:pt>
                <c:pt idx="65">
                  <c:v>3978</c:v>
                </c:pt>
                <c:pt idx="66">
                  <c:v>3317</c:v>
                </c:pt>
                <c:pt idx="67">
                  <c:v>2694</c:v>
                </c:pt>
                <c:pt idx="68">
                  <c:v>2532</c:v>
                </c:pt>
                <c:pt idx="69">
                  <c:v>2169</c:v>
                </c:pt>
                <c:pt idx="70">
                  <c:v>1889</c:v>
                </c:pt>
                <c:pt idx="71">
                  <c:v>1782</c:v>
                </c:pt>
                <c:pt idx="72">
                  <c:v>1367</c:v>
                </c:pt>
                <c:pt idx="73">
                  <c:v>1205</c:v>
                </c:pt>
                <c:pt idx="74">
                  <c:v>1157</c:v>
                </c:pt>
                <c:pt idx="75">
                  <c:v>893</c:v>
                </c:pt>
                <c:pt idx="76">
                  <c:v>684</c:v>
                </c:pt>
                <c:pt idx="77">
                  <c:v>537</c:v>
                </c:pt>
                <c:pt idx="78">
                  <c:v>418</c:v>
                </c:pt>
                <c:pt idx="79">
                  <c:v>290</c:v>
                </c:pt>
                <c:pt idx="80">
                  <c:v>218</c:v>
                </c:pt>
                <c:pt idx="81">
                  <c:v>127</c:v>
                </c:pt>
                <c:pt idx="82">
                  <c:v>87</c:v>
                </c:pt>
                <c:pt idx="83">
                  <c:v>84</c:v>
                </c:pt>
                <c:pt idx="84">
                  <c:v>86</c:v>
                </c:pt>
                <c:pt idx="85">
                  <c:v>70</c:v>
                </c:pt>
                <c:pt idx="86">
                  <c:v>62</c:v>
                </c:pt>
                <c:pt idx="87">
                  <c:v>64</c:v>
                </c:pt>
                <c:pt idx="88">
                  <c:v>82</c:v>
                </c:pt>
                <c:pt idx="89">
                  <c:v>99</c:v>
                </c:pt>
                <c:pt idx="90">
                  <c:v>114</c:v>
                </c:pt>
                <c:pt idx="91">
                  <c:v>117</c:v>
                </c:pt>
                <c:pt idx="92">
                  <c:v>135</c:v>
                </c:pt>
                <c:pt idx="93">
                  <c:v>163</c:v>
                </c:pt>
                <c:pt idx="94">
                  <c:v>233</c:v>
                </c:pt>
                <c:pt idx="95">
                  <c:v>421</c:v>
                </c:pt>
                <c:pt idx="96">
                  <c:v>1003</c:v>
                </c:pt>
                <c:pt idx="97">
                  <c:v>1808</c:v>
                </c:pt>
                <c:pt idx="98">
                  <c:v>2464</c:v>
                </c:pt>
                <c:pt idx="99">
                  <c:v>1988</c:v>
                </c:pt>
                <c:pt idx="100">
                  <c:v>1212</c:v>
                </c:pt>
                <c:pt idx="101">
                  <c:v>628</c:v>
                </c:pt>
                <c:pt idx="102">
                  <c:v>454</c:v>
                </c:pt>
                <c:pt idx="103">
                  <c:v>223</c:v>
                </c:pt>
                <c:pt idx="104">
                  <c:v>113</c:v>
                </c:pt>
                <c:pt idx="105">
                  <c:v>71</c:v>
                </c:pt>
                <c:pt idx="106">
                  <c:v>51</c:v>
                </c:pt>
                <c:pt idx="107">
                  <c:v>33</c:v>
                </c:pt>
                <c:pt idx="108">
                  <c:v>31</c:v>
                </c:pt>
                <c:pt idx="109">
                  <c:v>11</c:v>
                </c:pt>
                <c:pt idx="110">
                  <c:v>3</c:v>
                </c:pt>
                <c:pt idx="111">
                  <c:v>198</c:v>
                </c:pt>
                <c:pt idx="112">
                  <c:v>111</c:v>
                </c:pt>
                <c:pt idx="113">
                  <c:v>76</c:v>
                </c:pt>
                <c:pt idx="114">
                  <c:v>47</c:v>
                </c:pt>
                <c:pt idx="115">
                  <c:v>49</c:v>
                </c:pt>
                <c:pt idx="116">
                  <c:v>64</c:v>
                </c:pt>
                <c:pt idx="117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Modelo_SIRD!M7</c:f>
              <c:strCache>
                <c:ptCount val="1"/>
                <c:pt idx="0">
                  <c:v>Muertes c/rezago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Modelo_SIRD!$M$8:$M$125</c:f>
              <c:numCache>
                <c:formatCode>#,##0</c:formatCode>
                <c:ptCount val="1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0.42</c:v>
                </c:pt>
                <c:pt idx="5">
                  <c:v>0.965998154264953</c:v>
                </c:pt>
                <c:pt idx="6">
                  <c:v>1.89315261351308</c:v>
                </c:pt>
                <c:pt idx="7">
                  <c:v>3.71015342059653</c:v>
                </c:pt>
                <c:pt idx="8">
                  <c:v>7.27096519111566</c:v>
                </c:pt>
                <c:pt idx="9">
                  <c:v>14.2488696077797</c:v>
                </c:pt>
                <c:pt idx="10">
                  <c:v>27.9219365350939</c:v>
                </c:pt>
                <c:pt idx="11">
                  <c:v>54.709802587805</c:v>
                </c:pt>
                <c:pt idx="12">
                  <c:v>107.175513607047</c:v>
                </c:pt>
                <c:pt idx="13">
                  <c:v>209.870423121654</c:v>
                </c:pt>
                <c:pt idx="14">
                  <c:v>410.643079319956</c:v>
                </c:pt>
                <c:pt idx="15">
                  <c:v>802.245232040601</c:v>
                </c:pt>
                <c:pt idx="16">
                  <c:v>1562.56101256766</c:v>
                </c:pt>
                <c:pt idx="17">
                  <c:v>1645.01509712543</c:v>
                </c:pt>
                <c:pt idx="18">
                  <c:v>1724.09024369527</c:v>
                </c:pt>
                <c:pt idx="19">
                  <c:v>1798.49073917528</c:v>
                </c:pt>
                <c:pt idx="20">
                  <c:v>1866.89624707377</c:v>
                </c:pt>
                <c:pt idx="21">
                  <c:v>1928.00408340981</c:v>
                </c:pt>
                <c:pt idx="22">
                  <c:v>1980.57601353746</c:v>
                </c:pt>
                <c:pt idx="23">
                  <c:v>2023.48713902122</c:v>
                </c:pt>
                <c:pt idx="24">
                  <c:v>2055.77390872102</c:v>
                </c:pt>
                <c:pt idx="25">
                  <c:v>2076.67798676675</c:v>
                </c:pt>
                <c:pt idx="26">
                  <c:v>2085.68271834971</c:v>
                </c:pt>
                <c:pt idx="27">
                  <c:v>2082.53929195957</c:v>
                </c:pt>
                <c:pt idx="28">
                  <c:v>2067.28039394924</c:v>
                </c:pt>
                <c:pt idx="29">
                  <c:v>2040.22012413248</c:v>
                </c:pt>
                <c:pt idx="30">
                  <c:v>2001.94007807823</c:v>
                </c:pt>
                <c:pt idx="31">
                  <c:v>1953.2626612727</c:v>
                </c:pt>
                <c:pt idx="32">
                  <c:v>1895.21373518656</c:v>
                </c:pt>
                <c:pt idx="33">
                  <c:v>1828.9774789226</c:v>
                </c:pt>
                <c:pt idx="34">
                  <c:v>1755.84679819657</c:v>
                </c:pt>
                <c:pt idx="35">
                  <c:v>1677.17269603979</c:v>
                </c:pt>
                <c:pt idx="36">
                  <c:v>1594.315761912</c:v>
                </c:pt>
                <c:pt idx="37">
                  <c:v>1508.60240780446</c:v>
                </c:pt>
                <c:pt idx="38">
                  <c:v>1421.2877787929</c:v>
                </c:pt>
                <c:pt idx="39">
                  <c:v>1298.36234142136</c:v>
                </c:pt>
                <c:pt idx="40">
                  <c:v>1181.72109746058</c:v>
                </c:pt>
                <c:pt idx="41">
                  <c:v>1071.96362180737</c:v>
                </c:pt>
                <c:pt idx="42">
                  <c:v>969.447052647272</c:v>
                </c:pt>
                <c:pt idx="43">
                  <c:v>874.32279438938</c:v>
                </c:pt>
                <c:pt idx="44">
                  <c:v>786.573305772057</c:v>
                </c:pt>
                <c:pt idx="45">
                  <c:v>706.047035138894</c:v>
                </c:pt>
                <c:pt idx="46">
                  <c:v>632.490232641489</c:v>
                </c:pt>
                <c:pt idx="47">
                  <c:v>735.618988286682</c:v>
                </c:pt>
                <c:pt idx="48">
                  <c:v>853.323320223775</c:v>
                </c:pt>
                <c:pt idx="49">
                  <c:v>986.850078458185</c:v>
                </c:pt>
                <c:pt idx="50">
                  <c:v>1136.6272077688</c:v>
                </c:pt>
                <c:pt idx="51">
                  <c:v>1303.1745718242</c:v>
                </c:pt>
                <c:pt idx="52">
                  <c:v>1486.42804852089</c:v>
                </c:pt>
                <c:pt idx="53">
                  <c:v>1687.70741540319</c:v>
                </c:pt>
                <c:pt idx="54">
                  <c:v>1905.07637366359</c:v>
                </c:pt>
                <c:pt idx="55">
                  <c:v>2135.15201346493</c:v>
                </c:pt>
                <c:pt idx="56">
                  <c:v>2373.76154924111</c:v>
                </c:pt>
                <c:pt idx="57">
                  <c:v>2613.37313853879</c:v>
                </c:pt>
                <c:pt idx="58">
                  <c:v>2847.22433908642</c:v>
                </c:pt>
                <c:pt idx="59">
                  <c:v>3074.05962243601</c:v>
                </c:pt>
                <c:pt idx="60">
                  <c:v>2935.44464298621</c:v>
                </c:pt>
                <c:pt idx="61">
                  <c:v>2773.38195471633</c:v>
                </c:pt>
                <c:pt idx="62">
                  <c:v>2593.59900052166</c:v>
                </c:pt>
                <c:pt idx="63">
                  <c:v>2403.8442112894</c:v>
                </c:pt>
                <c:pt idx="64">
                  <c:v>2207.5323170241</c:v>
                </c:pt>
                <c:pt idx="65">
                  <c:v>2000.70882358999</c:v>
                </c:pt>
                <c:pt idx="66">
                  <c:v>1793.88825223155</c:v>
                </c:pt>
                <c:pt idx="67">
                  <c:v>1605.66008685315</c:v>
                </c:pt>
                <c:pt idx="68">
                  <c:v>1428.20893577788</c:v>
                </c:pt>
                <c:pt idx="69">
                  <c:v>1265.92471230973</c:v>
                </c:pt>
                <c:pt idx="70">
                  <c:v>1116.47549623846</c:v>
                </c:pt>
                <c:pt idx="71">
                  <c:v>979.193538884021</c:v>
                </c:pt>
                <c:pt idx="72">
                  <c:v>856.735885757487</c:v>
                </c:pt>
                <c:pt idx="73">
                  <c:v>822.46701230295</c:v>
                </c:pt>
                <c:pt idx="74">
                  <c:v>784.547937628129</c:v>
                </c:pt>
                <c:pt idx="75">
                  <c:v>748.75666647582</c:v>
                </c:pt>
                <c:pt idx="76">
                  <c:v>709.500702954334</c:v>
                </c:pt>
                <c:pt idx="77">
                  <c:v>662.837822906178</c:v>
                </c:pt>
                <c:pt idx="78">
                  <c:v>614.376177137718</c:v>
                </c:pt>
                <c:pt idx="79">
                  <c:v>570.996478057292</c:v>
                </c:pt>
                <c:pt idx="80">
                  <c:v>528.225520654742</c:v>
                </c:pt>
                <c:pt idx="81">
                  <c:v>481.250919057682</c:v>
                </c:pt>
                <c:pt idx="82">
                  <c:v>436.358804175688</c:v>
                </c:pt>
                <c:pt idx="83">
                  <c:v>395.684855274594</c:v>
                </c:pt>
                <c:pt idx="84">
                  <c:v>358.656744112057</c:v>
                </c:pt>
                <c:pt idx="85">
                  <c:v>326.367270736155</c:v>
                </c:pt>
                <c:pt idx="86">
                  <c:v>295.490420285205</c:v>
                </c:pt>
                <c:pt idx="87">
                  <c:v>269.719985284508</c:v>
                </c:pt>
                <c:pt idx="88">
                  <c:v>246.587747208541</c:v>
                </c:pt>
                <c:pt idx="89">
                  <c:v>225.937311261237</c:v>
                </c:pt>
                <c:pt idx="90">
                  <c:v>206.726229427281</c:v>
                </c:pt>
                <c:pt idx="91">
                  <c:v>188.03186971588</c:v>
                </c:pt>
                <c:pt idx="92">
                  <c:v>171.191660931305</c:v>
                </c:pt>
                <c:pt idx="93">
                  <c:v>153.394795110318</c:v>
                </c:pt>
                <c:pt idx="94">
                  <c:v>138.427664214993</c:v>
                </c:pt>
                <c:pt idx="95">
                  <c:v>142.020703276619</c:v>
                </c:pt>
                <c:pt idx="96">
                  <c:v>146.118032176455</c:v>
                </c:pt>
                <c:pt idx="97">
                  <c:v>150.310087760168</c:v>
                </c:pt>
                <c:pt idx="98">
                  <c:v>155.397027093466</c:v>
                </c:pt>
                <c:pt idx="99">
                  <c:v>160.089530814104</c:v>
                </c:pt>
                <c:pt idx="100">
                  <c:v>163.985794302047</c:v>
                </c:pt>
                <c:pt idx="101">
                  <c:v>168.680818641849</c:v>
                </c:pt>
                <c:pt idx="102">
                  <c:v>173.75874059349</c:v>
                </c:pt>
                <c:pt idx="103">
                  <c:v>178.743145351924</c:v>
                </c:pt>
                <c:pt idx="104">
                  <c:v>183.841763575052</c:v>
                </c:pt>
                <c:pt idx="105">
                  <c:v>188.750443246856</c:v>
                </c:pt>
                <c:pt idx="106">
                  <c:v>193.647018079588</c:v>
                </c:pt>
                <c:pt idx="107">
                  <c:v>198.355481682491</c:v>
                </c:pt>
                <c:pt idx="108">
                  <c:v>151.985049091643</c:v>
                </c:pt>
                <c:pt idx="109">
                  <c:v>116.347083220637</c:v>
                </c:pt>
                <c:pt idx="110">
                  <c:v>89.0034276142833</c:v>
                </c:pt>
                <c:pt idx="111">
                  <c:v>68.121653792492</c:v>
                </c:pt>
                <c:pt idx="112">
                  <c:v>52.1141214351082</c:v>
                </c:pt>
                <c:pt idx="113">
                  <c:v>39.8671019459725</c:v>
                </c:pt>
                <c:pt idx="114">
                  <c:v>30.5140307868569</c:v>
                </c:pt>
                <c:pt idx="115">
                  <c:v>23.337214159561</c:v>
                </c:pt>
                <c:pt idx="116">
                  <c:v>17.8483576855651</c:v>
                </c:pt>
                <c:pt idx="117">
                  <c:v>13.6432900748478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988634"/>
        <c:axId val="42150606"/>
      </c:lineChart>
      <c:catAx>
        <c:axId val="179886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50606"/>
        <c:crosses val="autoZero"/>
        <c:auto val="1"/>
        <c:lblAlgn val="ctr"/>
        <c:lblOffset val="100"/>
        <c:noMultiLvlLbl val="0"/>
      </c:catAx>
      <c:valAx>
        <c:axId val="421506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Muertes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886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Rt: modelo vs. OWID (validacion externa)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Modelo_SIRD!N7</c:f>
              <c:strCache>
                <c:ptCount val="1"/>
                <c:pt idx="0">
                  <c:v>Rt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Modelo_SIRD!$N$8:$N$125</c:f>
              <c:numCache>
                <c:formatCode>0.00</c:formatCode>
                <c:ptCount val="118"/>
                <c:pt idx="0">
                  <c:v>2.85713657913249</c:v>
                </c:pt>
                <c:pt idx="1">
                  <c:v>2.37112722680335</c:v>
                </c:pt>
                <c:pt idx="2">
                  <c:v>2.37110733712791</c:v>
                </c:pt>
                <c:pt idx="3">
                  <c:v>2.37106835788656</c:v>
                </c:pt>
                <c:pt idx="4">
                  <c:v>2.37099196859434</c:v>
                </c:pt>
                <c:pt idx="5">
                  <c:v>2.37084226966617</c:v>
                </c:pt>
                <c:pt idx="6">
                  <c:v>2.37054892404056</c:v>
                </c:pt>
                <c:pt idx="7">
                  <c:v>2.36997415813161</c:v>
                </c:pt>
                <c:pt idx="8">
                  <c:v>2.36884824392061</c:v>
                </c:pt>
                <c:pt idx="9">
                  <c:v>2.36664364619416</c:v>
                </c:pt>
                <c:pt idx="10">
                  <c:v>2.36233063435581</c:v>
                </c:pt>
                <c:pt idx="11">
                  <c:v>2.35390695684182</c:v>
                </c:pt>
                <c:pt idx="12">
                  <c:v>1.07538364801172</c:v>
                </c:pt>
                <c:pt idx="13">
                  <c:v>1.06867079536058</c:v>
                </c:pt>
                <c:pt idx="14">
                  <c:v>1.06164782992247</c:v>
                </c:pt>
                <c:pt idx="15">
                  <c:v>1.0543356448894</c:v>
                </c:pt>
                <c:pt idx="16">
                  <c:v>1.04676045023301</c:v>
                </c:pt>
                <c:pt idx="17">
                  <c:v>1.03895362980372</c:v>
                </c:pt>
                <c:pt idx="18">
                  <c:v>1.0309514037406</c:v>
                </c:pt>
                <c:pt idx="19">
                  <c:v>1.0227942920044</c:v>
                </c:pt>
                <c:pt idx="20">
                  <c:v>1.01452638761008</c:v>
                </c:pt>
                <c:pt idx="21">
                  <c:v>1.00619446170439</c:v>
                </c:pt>
                <c:pt idx="22">
                  <c:v>0.997846935639218</c:v>
                </c:pt>
                <c:pt idx="23">
                  <c:v>0.989532766170031</c:v>
                </c:pt>
                <c:pt idx="24">
                  <c:v>0.981300297519969</c:v>
                </c:pt>
                <c:pt idx="25">
                  <c:v>0.973196137303684</c:v>
                </c:pt>
                <c:pt idx="26">
                  <c:v>0.965264111735154</c:v>
                </c:pt>
                <c:pt idx="27">
                  <c:v>0.957544349303298</c:v>
                </c:pt>
                <c:pt idx="28">
                  <c:v>0.950072531937976</c:v>
                </c:pt>
                <c:pt idx="29">
                  <c:v>0.942879339827236</c:v>
                </c:pt>
                <c:pt idx="30">
                  <c:v>0.935990101969526</c:v>
                </c:pt>
                <c:pt idx="31">
                  <c:v>0.929424650762877</c:v>
                </c:pt>
                <c:pt idx="32">
                  <c:v>0.923197366763655</c:v>
                </c:pt>
                <c:pt idx="33">
                  <c:v>0.917317390150679</c:v>
                </c:pt>
                <c:pt idx="34">
                  <c:v>0.876444608689474</c:v>
                </c:pt>
                <c:pt idx="35">
                  <c:v>0.871661135571</c:v>
                </c:pt>
                <c:pt idx="36">
                  <c:v>0.867315228502523</c:v>
                </c:pt>
                <c:pt idx="37">
                  <c:v>0.863379466730075</c:v>
                </c:pt>
                <c:pt idx="38">
                  <c:v>0.859825457058031</c:v>
                </c:pt>
                <c:pt idx="39">
                  <c:v>0.856624563473713</c:v>
                </c:pt>
                <c:pt idx="40">
                  <c:v>0.853748495363656</c:v>
                </c:pt>
                <c:pt idx="41">
                  <c:v>0.851169764625961</c:v>
                </c:pt>
                <c:pt idx="42">
                  <c:v>1.23293161534716</c:v>
                </c:pt>
                <c:pt idx="43">
                  <c:v>1.22858219343712</c:v>
                </c:pt>
                <c:pt idx="44">
                  <c:v>1.2235414342931</c:v>
                </c:pt>
                <c:pt idx="45">
                  <c:v>1.21771810670941</c:v>
                </c:pt>
                <c:pt idx="46">
                  <c:v>1.21101560309631</c:v>
                </c:pt>
                <c:pt idx="47">
                  <c:v>1.20333413397009</c:v>
                </c:pt>
                <c:pt idx="48">
                  <c:v>1.19457394849538</c:v>
                </c:pt>
                <c:pt idx="49">
                  <c:v>1.18463974236153</c:v>
                </c:pt>
                <c:pt idx="50">
                  <c:v>1.17344634592465</c:v>
                </c:pt>
                <c:pt idx="51">
                  <c:v>1.16092566106159</c:v>
                </c:pt>
                <c:pt idx="52">
                  <c:v>1.14703462530835</c:v>
                </c:pt>
                <c:pt idx="53">
                  <c:v>1.13176372917294</c:v>
                </c:pt>
                <c:pt idx="54">
                  <c:v>1.11514532000791</c:v>
                </c:pt>
                <c:pt idx="55">
                  <c:v>0.93598051747267</c:v>
                </c:pt>
                <c:pt idx="56">
                  <c:v>0.92214360856536</c:v>
                </c:pt>
                <c:pt idx="57">
                  <c:v>0.909122170592705</c:v>
                </c:pt>
                <c:pt idx="58">
                  <c:v>0.896984246707247</c:v>
                </c:pt>
                <c:pt idx="59">
                  <c:v>0.885770217945458</c:v>
                </c:pt>
                <c:pt idx="60">
                  <c:v>0.875494931506803</c:v>
                </c:pt>
                <c:pt idx="61">
                  <c:v>0.866150931958927</c:v>
                </c:pt>
                <c:pt idx="62">
                  <c:v>0.857712330399653</c:v>
                </c:pt>
                <c:pt idx="63">
                  <c:v>0.850138889397054</c:v>
                </c:pt>
                <c:pt idx="64">
                  <c:v>0.843379985014635</c:v>
                </c:pt>
                <c:pt idx="65">
                  <c:v>0.837378207129166</c:v>
                </c:pt>
                <c:pt idx="66">
                  <c:v>0.832072456365624</c:v>
                </c:pt>
                <c:pt idx="67">
                  <c:v>0.827400478190879</c:v>
                </c:pt>
                <c:pt idx="68">
                  <c:v>0.952943106032236</c:v>
                </c:pt>
                <c:pt idx="69">
                  <c:v>0.948138215757757</c:v>
                </c:pt>
                <c:pt idx="70">
                  <c:v>0.943515026716824</c:v>
                </c:pt>
                <c:pt idx="71">
                  <c:v>0.9390813990716</c:v>
                </c:pt>
                <c:pt idx="72">
                  <c:v>0.934843084857736</c:v>
                </c:pt>
                <c:pt idx="73">
                  <c:v>0.930803818057956</c:v>
                </c:pt>
                <c:pt idx="74">
                  <c:v>0.926965438401496</c:v>
                </c:pt>
                <c:pt idx="75">
                  <c:v>0.923328041335345</c:v>
                </c:pt>
                <c:pt idx="76">
                  <c:v>0.919890146645244</c:v>
                </c:pt>
                <c:pt idx="77">
                  <c:v>0.916648878592044</c:v>
                </c:pt>
                <c:pt idx="78">
                  <c:v>0.913600151087278</c:v>
                </c:pt>
                <c:pt idx="79">
                  <c:v>0.910738852273306</c:v>
                </c:pt>
                <c:pt idx="80">
                  <c:v>0.90805902381598</c:v>
                </c:pt>
                <c:pt idx="81">
                  <c:v>0.905554031190087</c:v>
                </c:pt>
                <c:pt idx="82">
                  <c:v>0.903216722182164</c:v>
                </c:pt>
                <c:pt idx="83">
                  <c:v>0.901039571708888</c:v>
                </c:pt>
                <c:pt idx="84">
                  <c:v>0.899014811823639</c:v>
                </c:pt>
                <c:pt idx="85">
                  <c:v>0.897134546443217</c:v>
                </c:pt>
                <c:pt idx="86">
                  <c:v>0.895390850866003</c:v>
                </c:pt>
                <c:pt idx="87">
                  <c:v>0.893775856574785</c:v>
                </c:pt>
                <c:pt idx="88">
                  <c:v>0.892281822130778</c:v>
                </c:pt>
                <c:pt idx="89">
                  <c:v>0.890901191182111</c:v>
                </c:pt>
                <c:pt idx="90">
                  <c:v>1.07302867238256</c:v>
                </c:pt>
                <c:pt idx="91">
                  <c:v>1.07131849378929</c:v>
                </c:pt>
                <c:pt idx="92">
                  <c:v>1.06952375574092</c:v>
                </c:pt>
                <c:pt idx="93">
                  <c:v>1.06764257583813</c:v>
                </c:pt>
                <c:pt idx="94">
                  <c:v>1.06567331507671</c:v>
                </c:pt>
                <c:pt idx="95">
                  <c:v>1.06361461448471</c:v>
                </c:pt>
                <c:pt idx="96">
                  <c:v>1.06146543259996</c:v>
                </c:pt>
                <c:pt idx="97">
                  <c:v>1.05922508325587</c:v>
                </c:pt>
                <c:pt idx="98">
                  <c:v>1.05689327305559</c:v>
                </c:pt>
                <c:pt idx="99">
                  <c:v>1.0544701378305</c:v>
                </c:pt>
                <c:pt idx="100">
                  <c:v>1.05195627730253</c:v>
                </c:pt>
                <c:pt idx="101">
                  <c:v>1.04935278710598</c:v>
                </c:pt>
                <c:pt idx="102">
                  <c:v>1.0466612872773</c:v>
                </c:pt>
                <c:pt idx="103">
                  <c:v>0.67010508524812</c:v>
                </c:pt>
                <c:pt idx="104">
                  <c:v>0.668926352837856</c:v>
                </c:pt>
                <c:pt idx="105">
                  <c:v>0.66802141552062</c:v>
                </c:pt>
                <c:pt idx="106">
                  <c:v>0.667327139335457</c:v>
                </c:pt>
                <c:pt idx="107">
                  <c:v>0.666794756410368</c:v>
                </c:pt>
                <c:pt idx="108">
                  <c:v>0.666386675850823</c:v>
                </c:pt>
                <c:pt idx="109">
                  <c:v>0.666073968993659</c:v>
                </c:pt>
                <c:pt idx="110">
                  <c:v>0.665834400830271</c:v>
                </c:pt>
                <c:pt idx="111">
                  <c:v>0.665650897323875</c:v>
                </c:pt>
                <c:pt idx="112">
                  <c:v>0.665510356952402</c:v>
                </c:pt>
                <c:pt idx="113">
                  <c:v>0.665402731991791</c:v>
                </c:pt>
                <c:pt idx="114">
                  <c:v>0.6653203199651</c:v>
                </c:pt>
                <c:pt idx="115">
                  <c:v>0.665257218142005</c:v>
                </c:pt>
                <c:pt idx="116">
                  <c:v>0.665208904130226</c:v>
                </c:pt>
                <c:pt idx="117">
                  <c:v>0.665171913741746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Datos_OWID!H5</c:f>
              <c:strCache>
                <c:ptCount val="1"/>
                <c:pt idx="0">
                  <c:v>Rt OWID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Datos_OWID!$H$6:$H$123</c:f>
              <c:numCache>
                <c:formatCode>0.00</c:formatCode>
                <c:ptCount val="118"/>
                <c:pt idx="2">
                  <c:v>2.375</c:v>
                </c:pt>
                <c:pt idx="3">
                  <c:v>1.96714285714286</c:v>
                </c:pt>
                <c:pt idx="4">
                  <c:v>1.46571428571429</c:v>
                </c:pt>
                <c:pt idx="5">
                  <c:v>1.15428571428571</c:v>
                </c:pt>
                <c:pt idx="6">
                  <c:v>1.13714285714286</c:v>
                </c:pt>
                <c:pt idx="7">
                  <c:v>1.24</c:v>
                </c:pt>
                <c:pt idx="8">
                  <c:v>1.06857142857143</c:v>
                </c:pt>
                <c:pt idx="9">
                  <c:v>1.26857142857143</c:v>
                </c:pt>
                <c:pt idx="10">
                  <c:v>1.43</c:v>
                </c:pt>
                <c:pt idx="11">
                  <c:v>1.55428571428571</c:v>
                </c:pt>
                <c:pt idx="12">
                  <c:v>1.33714285714286</c:v>
                </c:pt>
                <c:pt idx="13">
                  <c:v>1.26571428571429</c:v>
                </c:pt>
                <c:pt idx="14">
                  <c:v>1.32857142857143</c:v>
                </c:pt>
                <c:pt idx="15">
                  <c:v>1.32714285714286</c:v>
                </c:pt>
                <c:pt idx="16">
                  <c:v>1.31714285714286</c:v>
                </c:pt>
                <c:pt idx="17">
                  <c:v>1.18142857142857</c:v>
                </c:pt>
                <c:pt idx="18">
                  <c:v>1.19285714285714</c:v>
                </c:pt>
                <c:pt idx="19">
                  <c:v>1.20428571428571</c:v>
                </c:pt>
                <c:pt idx="20">
                  <c:v>1.23714285714286</c:v>
                </c:pt>
                <c:pt idx="21">
                  <c:v>1.15571428571429</c:v>
                </c:pt>
                <c:pt idx="22">
                  <c:v>1.14</c:v>
                </c:pt>
                <c:pt idx="23">
                  <c:v>1.06714285714286</c:v>
                </c:pt>
                <c:pt idx="24">
                  <c:v>1.09857142857143</c:v>
                </c:pt>
                <c:pt idx="25">
                  <c:v>1.18714285714286</c:v>
                </c:pt>
                <c:pt idx="26">
                  <c:v>1.12</c:v>
                </c:pt>
                <c:pt idx="27">
                  <c:v>1.08285714285714</c:v>
                </c:pt>
                <c:pt idx="28">
                  <c:v>1.03857142857143</c:v>
                </c:pt>
                <c:pt idx="29">
                  <c:v>1.05857142857143</c:v>
                </c:pt>
                <c:pt idx="30">
                  <c:v>1.06857142857143</c:v>
                </c:pt>
                <c:pt idx="31">
                  <c:v>1.06285714285714</c:v>
                </c:pt>
                <c:pt idx="32">
                  <c:v>1.05714285714286</c:v>
                </c:pt>
                <c:pt idx="33">
                  <c:v>1.01142857142857</c:v>
                </c:pt>
                <c:pt idx="34">
                  <c:v>0.897142857142857</c:v>
                </c:pt>
                <c:pt idx="35">
                  <c:v>0.87</c:v>
                </c:pt>
                <c:pt idx="36">
                  <c:v>0.917142857142857</c:v>
                </c:pt>
                <c:pt idx="37">
                  <c:v>0.878571428571429</c:v>
                </c:pt>
                <c:pt idx="38">
                  <c:v>0.867142857142857</c:v>
                </c:pt>
                <c:pt idx="39">
                  <c:v>0.855714285714286</c:v>
                </c:pt>
                <c:pt idx="40">
                  <c:v>0.901428571428571</c:v>
                </c:pt>
                <c:pt idx="41">
                  <c:v>1.03857142857143</c:v>
                </c:pt>
                <c:pt idx="42">
                  <c:v>1.08142857142857</c:v>
                </c:pt>
                <c:pt idx="43">
                  <c:v>1.20571428571429</c:v>
                </c:pt>
                <c:pt idx="44">
                  <c:v>1.24857142857143</c:v>
                </c:pt>
                <c:pt idx="45">
                  <c:v>1.07</c:v>
                </c:pt>
                <c:pt idx="46">
                  <c:v>0.951428571428571</c:v>
                </c:pt>
                <c:pt idx="47">
                  <c:v>0.902857142857143</c:v>
                </c:pt>
                <c:pt idx="48">
                  <c:v>0.878571428571429</c:v>
                </c:pt>
                <c:pt idx="49">
                  <c:v>0.852857142857143</c:v>
                </c:pt>
                <c:pt idx="50">
                  <c:v>0.925714285714286</c:v>
                </c:pt>
                <c:pt idx="51">
                  <c:v>0.988571428571428</c:v>
                </c:pt>
                <c:pt idx="52">
                  <c:v>1.00857142857143</c:v>
                </c:pt>
                <c:pt idx="53">
                  <c:v>1.06142857142857</c:v>
                </c:pt>
                <c:pt idx="54">
                  <c:v>1.09285714285714</c:v>
                </c:pt>
                <c:pt idx="55">
                  <c:v>1.22142857142857</c:v>
                </c:pt>
                <c:pt idx="56">
                  <c:v>1.29285714285714</c:v>
                </c:pt>
                <c:pt idx="57">
                  <c:v>1.38428571428571</c:v>
                </c:pt>
                <c:pt idx="58">
                  <c:v>1.22428571428571</c:v>
                </c:pt>
                <c:pt idx="59">
                  <c:v>1.07571428571429</c:v>
                </c:pt>
                <c:pt idx="60">
                  <c:v>0.967142857142857</c:v>
                </c:pt>
                <c:pt idx="61">
                  <c:v>0.988571428571428</c:v>
                </c:pt>
                <c:pt idx="62">
                  <c:v>1.10571428571429</c:v>
                </c:pt>
                <c:pt idx="63">
                  <c:v>1.19142857142857</c:v>
                </c:pt>
                <c:pt idx="64">
                  <c:v>1.07142857142857</c:v>
                </c:pt>
                <c:pt idx="65">
                  <c:v>0.962857142857143</c:v>
                </c:pt>
                <c:pt idx="66">
                  <c:v>0.887142857142857</c:v>
                </c:pt>
                <c:pt idx="67">
                  <c:v>0.854285714285714</c:v>
                </c:pt>
                <c:pt idx="68">
                  <c:v>0.937142857142857</c:v>
                </c:pt>
                <c:pt idx="69">
                  <c:v>0.931428571428571</c:v>
                </c:pt>
                <c:pt idx="70">
                  <c:v>0.894285714285714</c:v>
                </c:pt>
                <c:pt idx="71">
                  <c:v>0.911428571428571</c:v>
                </c:pt>
                <c:pt idx="72">
                  <c:v>0.897142857142857</c:v>
                </c:pt>
                <c:pt idx="73">
                  <c:v>0.93</c:v>
                </c:pt>
                <c:pt idx="74">
                  <c:v>0.915714285714286</c:v>
                </c:pt>
                <c:pt idx="75">
                  <c:v>0.821428571428571</c:v>
                </c:pt>
                <c:pt idx="76">
                  <c:v>0.801428571428572</c:v>
                </c:pt>
                <c:pt idx="77">
                  <c:v>0.778571428571429</c:v>
                </c:pt>
                <c:pt idx="78">
                  <c:v>0.734285714285714</c:v>
                </c:pt>
                <c:pt idx="79">
                  <c:v>0.685714285714286</c:v>
                </c:pt>
                <c:pt idx="80">
                  <c:v>0.69</c:v>
                </c:pt>
                <c:pt idx="81">
                  <c:v>0.715714285714286</c:v>
                </c:pt>
                <c:pt idx="82">
                  <c:v>0.747142857142857</c:v>
                </c:pt>
                <c:pt idx="83">
                  <c:v>0.725714285714286</c:v>
                </c:pt>
                <c:pt idx="84">
                  <c:v>0.948571428571428</c:v>
                </c:pt>
                <c:pt idx="85">
                  <c:v>1.07142857142857</c:v>
                </c:pt>
                <c:pt idx="86">
                  <c:v>1.05571428571429</c:v>
                </c:pt>
                <c:pt idx="87">
                  <c:v>1.02</c:v>
                </c:pt>
                <c:pt idx="88">
                  <c:v>1.07428571428572</c:v>
                </c:pt>
                <c:pt idx="89">
                  <c:v>1.07142857142857</c:v>
                </c:pt>
                <c:pt idx="90">
                  <c:v>1.17714285714286</c:v>
                </c:pt>
                <c:pt idx="91">
                  <c:v>1.21857142857143</c:v>
                </c:pt>
                <c:pt idx="92">
                  <c:v>1.3</c:v>
                </c:pt>
                <c:pt idx="93">
                  <c:v>1.55142857142857</c:v>
                </c:pt>
                <c:pt idx="94">
                  <c:v>1.92428571428571</c:v>
                </c:pt>
                <c:pt idx="95">
                  <c:v>2.14571428571429</c:v>
                </c:pt>
                <c:pt idx="96">
                  <c:v>1.93142857142857</c:v>
                </c:pt>
                <c:pt idx="97">
                  <c:v>1.40714285714286</c:v>
                </c:pt>
                <c:pt idx="98">
                  <c:v>1.05428571428571</c:v>
                </c:pt>
                <c:pt idx="99">
                  <c:v>0.744285714285714</c:v>
                </c:pt>
                <c:pt idx="100">
                  <c:v>0.578571428571429</c:v>
                </c:pt>
                <c:pt idx="101">
                  <c:v>0.521428571428572</c:v>
                </c:pt>
                <c:pt idx="102">
                  <c:v>0.56</c:v>
                </c:pt>
                <c:pt idx="103">
                  <c:v>0.582857142857143</c:v>
                </c:pt>
                <c:pt idx="104">
                  <c:v>0.625714285714286</c:v>
                </c:pt>
                <c:pt idx="105">
                  <c:v>0.72</c:v>
                </c:pt>
                <c:pt idx="106">
                  <c:v>0.854285714285714</c:v>
                </c:pt>
                <c:pt idx="107">
                  <c:v>0.662857142857143</c:v>
                </c:pt>
                <c:pt idx="108">
                  <c:v>0.677142857142857</c:v>
                </c:pt>
                <c:pt idx="109">
                  <c:v>0.7</c:v>
                </c:pt>
                <c:pt idx="110">
                  <c:v>0.535714285714286</c:v>
                </c:pt>
                <c:pt idx="111">
                  <c:v>0.107142857142857</c:v>
                </c:pt>
                <c:pt idx="112">
                  <c:v>0.0485714285714285</c:v>
                </c:pt>
                <c:pt idx="113">
                  <c:v>0.0842857142857143</c:v>
                </c:pt>
                <c:pt idx="114">
                  <c:v>0.125714285714286</c:v>
                </c:pt>
                <c:pt idx="115">
                  <c:v>0.171428571428571</c:v>
                </c:pt>
                <c:pt idx="116">
                  <c:v>0.214285714285714</c:v>
                </c:pt>
                <c:pt idx="117">
                  <c:v>0.238333333333333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736947"/>
        <c:axId val="93873310"/>
      </c:lineChart>
      <c:catAx>
        <c:axId val="587369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73310"/>
        <c:crosses val="autoZero"/>
        <c:auto val="1"/>
        <c:lblAlgn val="ctr"/>
        <c:lblOffset val="100"/>
        <c:noMultiLvlLbl val="0"/>
      </c:catAx>
      <c:valAx>
        <c:axId val="93873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369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Tasa de deteccion vs. positividad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Deteccion!F6</c:f>
              <c:strCache>
                <c:ptCount val="1"/>
                <c:pt idx="0">
                  <c:v>Tasa deteccion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Deteccion!$F$7:$F$124</c:f>
              <c:numCache>
                <c:formatCode>0.0%</c:formatCode>
                <c:ptCount val="118"/>
                <c:pt idx="0">
                  <c:v>0.22</c:v>
                </c:pt>
                <c:pt idx="1">
                  <c:v>0.545001197524579</c:v>
                </c:pt>
                <c:pt idx="2">
                  <c:v>1</c:v>
                </c:pt>
                <c:pt idx="3">
                  <c:v>0.997133341401475</c:v>
                </c:pt>
                <c:pt idx="4">
                  <c:v>0.539500423927238</c:v>
                </c:pt>
                <c:pt idx="5">
                  <c:v>0.319152637388733</c:v>
                </c:pt>
                <c:pt idx="6">
                  <c:v>0.191108695410122</c:v>
                </c:pt>
                <c:pt idx="7">
                  <c:v>0.126725485381385</c:v>
                </c:pt>
                <c:pt idx="8">
                  <c:v>0.059647934508178</c:v>
                </c:pt>
                <c:pt idx="9">
                  <c:v>0.0448317579218955</c:v>
                </c:pt>
                <c:pt idx="10">
                  <c:v>0.0351528168667204</c:v>
                </c:pt>
                <c:pt idx="11">
                  <c:v>0.0313027431641433</c:v>
                </c:pt>
                <c:pt idx="12">
                  <c:v>0.0183805362018393</c:v>
                </c:pt>
                <c:pt idx="13">
                  <c:v>0.0260552463761291</c:v>
                </c:pt>
                <c:pt idx="14">
                  <c:v>0.0364680001312485</c:v>
                </c:pt>
                <c:pt idx="15">
                  <c:v>0.0460560941224166</c:v>
                </c:pt>
                <c:pt idx="16">
                  <c:v>0.0601419811045426</c:v>
                </c:pt>
                <c:pt idx="17">
                  <c:v>0.0620051296465763</c:v>
                </c:pt>
                <c:pt idx="18">
                  <c:v>0.0747968091132987</c:v>
                </c:pt>
                <c:pt idx="19">
                  <c:v>0.0927734346159144</c:v>
                </c:pt>
                <c:pt idx="20">
                  <c:v>0.113780797022808</c:v>
                </c:pt>
                <c:pt idx="21">
                  <c:v>0.120725713442019</c:v>
                </c:pt>
                <c:pt idx="22">
                  <c:v>0.148284177324684</c:v>
                </c:pt>
                <c:pt idx="23">
                  <c:v>0.140333993534757</c:v>
                </c:pt>
                <c:pt idx="24">
                  <c:v>0.149023103793608</c:v>
                </c:pt>
                <c:pt idx="25">
                  <c:v>0.204017221244085</c:v>
                </c:pt>
                <c:pt idx="26">
                  <c:v>0.21854066704977</c:v>
                </c:pt>
                <c:pt idx="27">
                  <c:v>0.242676350067332</c:v>
                </c:pt>
                <c:pt idx="28">
                  <c:v>0.241657162596158</c:v>
                </c:pt>
                <c:pt idx="29">
                  <c:v>0.272284007244055</c:v>
                </c:pt>
                <c:pt idx="30">
                  <c:v>0.302883422437048</c:v>
                </c:pt>
                <c:pt idx="31">
                  <c:v>0.351273336613881</c:v>
                </c:pt>
                <c:pt idx="32">
                  <c:v>0.369444389044102</c:v>
                </c:pt>
                <c:pt idx="33">
                  <c:v>0.397812816755836</c:v>
                </c:pt>
                <c:pt idx="34">
                  <c:v>0.353374942115042</c:v>
                </c:pt>
                <c:pt idx="35">
                  <c:v>0.340657308628325</c:v>
                </c:pt>
                <c:pt idx="36">
                  <c:v>0.355891679765801</c:v>
                </c:pt>
                <c:pt idx="37">
                  <c:v>0.338875625454467</c:v>
                </c:pt>
                <c:pt idx="38">
                  <c:v>0.31139973660104</c:v>
                </c:pt>
                <c:pt idx="39">
                  <c:v>0.307804429783295</c:v>
                </c:pt>
                <c:pt idx="40">
                  <c:v>0.282901883275282</c:v>
                </c:pt>
                <c:pt idx="41">
                  <c:v>0.406119836986532</c:v>
                </c:pt>
                <c:pt idx="42">
                  <c:v>0.447908949667671</c:v>
                </c:pt>
                <c:pt idx="43">
                  <c:v>0.465216717502348</c:v>
                </c:pt>
                <c:pt idx="44">
                  <c:v>0.562531196616749</c:v>
                </c:pt>
                <c:pt idx="45">
                  <c:v>0.447932514005084</c:v>
                </c:pt>
                <c:pt idx="46">
                  <c:v>0.396016903171137</c:v>
                </c:pt>
                <c:pt idx="47">
                  <c:v>0.266557343128279</c:v>
                </c:pt>
                <c:pt idx="48">
                  <c:v>0.195853583079356</c:v>
                </c:pt>
                <c:pt idx="49">
                  <c:v>0.170939136988496</c:v>
                </c:pt>
                <c:pt idx="50">
                  <c:v>0.127621464677897</c:v>
                </c:pt>
                <c:pt idx="51">
                  <c:v>0.119475575171849</c:v>
                </c:pt>
                <c:pt idx="52">
                  <c:v>0.105333205231204</c:v>
                </c:pt>
                <c:pt idx="53">
                  <c:v>0.110182363486893</c:v>
                </c:pt>
                <c:pt idx="54">
                  <c:v>0.103970723232256</c:v>
                </c:pt>
                <c:pt idx="55">
                  <c:v>0.133751764194053</c:v>
                </c:pt>
                <c:pt idx="56">
                  <c:v>0.193878422621557</c:v>
                </c:pt>
                <c:pt idx="57">
                  <c:v>0.336221608755448</c:v>
                </c:pt>
                <c:pt idx="58">
                  <c:v>0.386927139563786</c:v>
                </c:pt>
                <c:pt idx="59">
                  <c:v>0.4219386747624</c:v>
                </c:pt>
                <c:pt idx="60">
                  <c:v>0.393086383347751</c:v>
                </c:pt>
                <c:pt idx="61">
                  <c:v>0.44208595222598</c:v>
                </c:pt>
                <c:pt idx="62">
                  <c:v>0.561507820673638</c:v>
                </c:pt>
                <c:pt idx="63">
                  <c:v>0.884489745547952</c:v>
                </c:pt>
                <c:pt idx="64">
                  <c:v>0.87988651747952</c:v>
                </c:pt>
                <c:pt idx="65">
                  <c:v>0.928448889379416</c:v>
                </c:pt>
                <c:pt idx="66">
                  <c:v>0.875733236237565</c:v>
                </c:pt>
                <c:pt idx="67">
                  <c:v>0.840965577912794</c:v>
                </c:pt>
                <c:pt idx="68">
                  <c:v>0.927112592104143</c:v>
                </c:pt>
                <c:pt idx="69">
                  <c:v>0.8626245574593</c:v>
                </c:pt>
                <c:pt idx="70">
                  <c:v>0.778154524991311</c:v>
                </c:pt>
                <c:pt idx="71">
                  <c:v>0.783321808555149</c:v>
                </c:pt>
                <c:pt idx="72">
                  <c:v>0.688745810505639</c:v>
                </c:pt>
                <c:pt idx="73">
                  <c:v>0.71349976839583</c:v>
                </c:pt>
                <c:pt idx="74">
                  <c:v>0.692410004203604</c:v>
                </c:pt>
                <c:pt idx="75">
                  <c:v>0.565971492740063</c:v>
                </c:pt>
                <c:pt idx="76">
                  <c:v>0.454152182965317</c:v>
                </c:pt>
                <c:pt idx="77">
                  <c:v>0.390069655928664</c:v>
                </c:pt>
                <c:pt idx="78">
                  <c:v>0.309210179727914</c:v>
                </c:pt>
                <c:pt idx="79">
                  <c:v>0.22933557447846</c:v>
                </c:pt>
                <c:pt idx="80">
                  <c:v>0.175339005957802</c:v>
                </c:pt>
                <c:pt idx="81">
                  <c:v>0.145051816403638</c:v>
                </c:pt>
                <c:pt idx="82">
                  <c:v>0.130761832510518</c:v>
                </c:pt>
                <c:pt idx="83">
                  <c:v>0.100664641068021</c:v>
                </c:pt>
                <c:pt idx="84">
                  <c:v>0.117722102064122</c:v>
                </c:pt>
                <c:pt idx="85">
                  <c:v>0.151071720470303</c:v>
                </c:pt>
                <c:pt idx="86">
                  <c:v>0.170995160408159</c:v>
                </c:pt>
                <c:pt idx="87">
                  <c:v>0.176806679811999</c:v>
                </c:pt>
                <c:pt idx="88">
                  <c:v>0.208216485956411</c:v>
                </c:pt>
                <c:pt idx="89">
                  <c:v>0.245230526219406</c:v>
                </c:pt>
                <c:pt idx="90">
                  <c:v>0.307325961239837</c:v>
                </c:pt>
                <c:pt idx="91">
                  <c:v>0.367329963750919</c:v>
                </c:pt>
                <c:pt idx="92">
                  <c:v>0.448037608496224</c:v>
                </c:pt>
                <c:pt idx="93">
                  <c:v>0.800814457206207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0.921380840957857</c:v>
                </c:pt>
                <c:pt idx="104">
                  <c:v>0.79463873657316</c:v>
                </c:pt>
                <c:pt idx="105">
                  <c:v>0.902954892335537</c:v>
                </c:pt>
                <c:pt idx="106">
                  <c:v>1</c:v>
                </c:pt>
                <c:pt idx="107">
                  <c:v>0.765348972253764</c:v>
                </c:pt>
                <c:pt idx="108">
                  <c:v>0.814604111546756</c:v>
                </c:pt>
                <c:pt idx="109">
                  <c:v>0.804775799156444</c:v>
                </c:pt>
                <c:pt idx="110">
                  <c:v>0.714942507651485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Deteccion!G6</c:f>
              <c:strCache>
                <c:ptCount val="1"/>
                <c:pt idx="0">
                  <c:v>Positividad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Deteccion!$G$7:$G$124</c:f>
              <c:numCache>
                <c:formatCode>0.0%</c:formatCode>
                <c:ptCount val="118"/>
                <c:pt idx="0">
                  <c:v>0.103333333333333</c:v>
                </c:pt>
                <c:pt idx="1">
                  <c:v>0.21</c:v>
                </c:pt>
                <c:pt idx="2">
                  <c:v>0.16</c:v>
                </c:pt>
                <c:pt idx="3">
                  <c:v>0.237142857142857</c:v>
                </c:pt>
                <c:pt idx="4">
                  <c:v>0.175714285714286</c:v>
                </c:pt>
                <c:pt idx="5">
                  <c:v>0.102857142857143</c:v>
                </c:pt>
                <c:pt idx="6">
                  <c:v>0.0928571428571428</c:v>
                </c:pt>
                <c:pt idx="7">
                  <c:v>0.0857142857142857</c:v>
                </c:pt>
                <c:pt idx="8">
                  <c:v>0.0857142857142857</c:v>
                </c:pt>
                <c:pt idx="9">
                  <c:v>0.08</c:v>
                </c:pt>
                <c:pt idx="10">
                  <c:v>0.0999999999999999</c:v>
                </c:pt>
                <c:pt idx="11">
                  <c:v>0.122857142857143</c:v>
                </c:pt>
                <c:pt idx="12">
                  <c:v>0.154285714285714</c:v>
                </c:pt>
                <c:pt idx="13">
                  <c:v>0.17</c:v>
                </c:pt>
                <c:pt idx="14">
                  <c:v>0.202857142857143</c:v>
                </c:pt>
                <c:pt idx="15">
                  <c:v>0.234285714285714</c:v>
                </c:pt>
                <c:pt idx="16">
                  <c:v>0.261428571428571</c:v>
                </c:pt>
                <c:pt idx="17">
                  <c:v>0.281428571428572</c:v>
                </c:pt>
                <c:pt idx="18">
                  <c:v>0.304285714285714</c:v>
                </c:pt>
                <c:pt idx="19">
                  <c:v>0.312857142857143</c:v>
                </c:pt>
                <c:pt idx="20">
                  <c:v>0.34</c:v>
                </c:pt>
                <c:pt idx="21">
                  <c:v>0.345714285714286</c:v>
                </c:pt>
                <c:pt idx="22">
                  <c:v>0.357142857142857</c:v>
                </c:pt>
                <c:pt idx="23">
                  <c:v>0.334285714285714</c:v>
                </c:pt>
                <c:pt idx="24">
                  <c:v>0.335714285714286</c:v>
                </c:pt>
                <c:pt idx="25">
                  <c:v>0.38</c:v>
                </c:pt>
                <c:pt idx="26">
                  <c:v>0.4</c:v>
                </c:pt>
                <c:pt idx="27">
                  <c:v>0.402857142857143</c:v>
                </c:pt>
                <c:pt idx="28">
                  <c:v>0.398571428571429</c:v>
                </c:pt>
                <c:pt idx="29">
                  <c:v>0.395714285714286</c:v>
                </c:pt>
                <c:pt idx="30">
                  <c:v>0.41</c:v>
                </c:pt>
                <c:pt idx="31">
                  <c:v>0.391428571428571</c:v>
                </c:pt>
                <c:pt idx="32">
                  <c:v>0.395714285714286</c:v>
                </c:pt>
                <c:pt idx="33">
                  <c:v>0.362857142857143</c:v>
                </c:pt>
                <c:pt idx="34">
                  <c:v>0.33</c:v>
                </c:pt>
                <c:pt idx="35">
                  <c:v>0.292857142857143</c:v>
                </c:pt>
                <c:pt idx="36">
                  <c:v>0.28</c:v>
                </c:pt>
                <c:pt idx="37">
                  <c:v>0.254285714285714</c:v>
                </c:pt>
                <c:pt idx="38">
                  <c:v>0.221428571428571</c:v>
                </c:pt>
                <c:pt idx="39">
                  <c:v>0.198571428571429</c:v>
                </c:pt>
                <c:pt idx="40">
                  <c:v>0.181428571428571</c:v>
                </c:pt>
                <c:pt idx="41">
                  <c:v>0.18</c:v>
                </c:pt>
                <c:pt idx="42">
                  <c:v>0.182857142857143</c:v>
                </c:pt>
                <c:pt idx="43">
                  <c:v>0.214285714285714</c:v>
                </c:pt>
                <c:pt idx="44">
                  <c:v>0.22</c:v>
                </c:pt>
                <c:pt idx="45">
                  <c:v>0.205714285714286</c:v>
                </c:pt>
                <c:pt idx="46">
                  <c:v>0.177142857142857</c:v>
                </c:pt>
                <c:pt idx="47">
                  <c:v>0.165714285714286</c:v>
                </c:pt>
                <c:pt idx="48">
                  <c:v>0.141428571428571</c:v>
                </c:pt>
                <c:pt idx="49">
                  <c:v>0.128571428571429</c:v>
                </c:pt>
                <c:pt idx="50">
                  <c:v>0.111428571428571</c:v>
                </c:pt>
                <c:pt idx="51">
                  <c:v>0.12</c:v>
                </c:pt>
                <c:pt idx="52">
                  <c:v>0.132857142857143</c:v>
                </c:pt>
                <c:pt idx="53">
                  <c:v>0.14</c:v>
                </c:pt>
                <c:pt idx="54">
                  <c:v>0.14</c:v>
                </c:pt>
                <c:pt idx="55">
                  <c:v>0.164285714285714</c:v>
                </c:pt>
                <c:pt idx="56">
                  <c:v>0.205714285714286</c:v>
                </c:pt>
                <c:pt idx="57">
                  <c:v>0.241428571428571</c:v>
                </c:pt>
                <c:pt idx="58">
                  <c:v>0.247142857142857</c:v>
                </c:pt>
                <c:pt idx="59">
                  <c:v>0.251428571428571</c:v>
                </c:pt>
                <c:pt idx="60">
                  <c:v>0.247142857142857</c:v>
                </c:pt>
                <c:pt idx="61">
                  <c:v>0.238571428571429</c:v>
                </c:pt>
                <c:pt idx="62">
                  <c:v>0.257142857142857</c:v>
                </c:pt>
                <c:pt idx="63">
                  <c:v>0.278571428571429</c:v>
                </c:pt>
                <c:pt idx="64">
                  <c:v>0.288571428571429</c:v>
                </c:pt>
                <c:pt idx="65">
                  <c:v>0.281428571428571</c:v>
                </c:pt>
                <c:pt idx="66">
                  <c:v>0.245714285714286</c:v>
                </c:pt>
                <c:pt idx="67">
                  <c:v>0.225714285714286</c:v>
                </c:pt>
                <c:pt idx="68">
                  <c:v>0.217142857142857</c:v>
                </c:pt>
                <c:pt idx="69">
                  <c:v>0.217142857142857</c:v>
                </c:pt>
                <c:pt idx="70">
                  <c:v>0.185714285714286</c:v>
                </c:pt>
                <c:pt idx="71">
                  <c:v>0.164285714285714</c:v>
                </c:pt>
                <c:pt idx="72">
                  <c:v>0.142857142857143</c:v>
                </c:pt>
                <c:pt idx="73">
                  <c:v>0.14</c:v>
                </c:pt>
                <c:pt idx="74">
                  <c:v>0.125714285714286</c:v>
                </c:pt>
                <c:pt idx="75">
                  <c:v>0.104285714285714</c:v>
                </c:pt>
                <c:pt idx="76">
                  <c:v>0.08</c:v>
                </c:pt>
                <c:pt idx="77">
                  <c:v>0.0585714285714285</c:v>
                </c:pt>
                <c:pt idx="78">
                  <c:v>0.05</c:v>
                </c:pt>
                <c:pt idx="79">
                  <c:v>0.0385714285714285</c:v>
                </c:pt>
                <c:pt idx="80">
                  <c:v>0.03</c:v>
                </c:pt>
                <c:pt idx="81">
                  <c:v>0.0228571428571428</c:v>
                </c:pt>
                <c:pt idx="82">
                  <c:v>0.02</c:v>
                </c:pt>
                <c:pt idx="83">
                  <c:v>0.02</c:v>
                </c:pt>
                <c:pt idx="84">
                  <c:v>0.02</c:v>
                </c:pt>
                <c:pt idx="85">
                  <c:v>0.02</c:v>
                </c:pt>
                <c:pt idx="86">
                  <c:v>0.0271428571428571</c:v>
                </c:pt>
                <c:pt idx="87">
                  <c:v>0.03</c:v>
                </c:pt>
                <c:pt idx="88">
                  <c:v>0.0342857142857142</c:v>
                </c:pt>
                <c:pt idx="89">
                  <c:v>0.04</c:v>
                </c:pt>
                <c:pt idx="90">
                  <c:v>0.0457142857142857</c:v>
                </c:pt>
                <c:pt idx="91">
                  <c:v>0.0542857142857142</c:v>
                </c:pt>
                <c:pt idx="92">
                  <c:v>0.0642857142857143</c:v>
                </c:pt>
                <c:pt idx="93">
                  <c:v>0.0871428571428571</c:v>
                </c:pt>
                <c:pt idx="94">
                  <c:v>0.152857142857143</c:v>
                </c:pt>
                <c:pt idx="95">
                  <c:v>0.294285714285714</c:v>
                </c:pt>
                <c:pt idx="96">
                  <c:v>0.48</c:v>
                </c:pt>
                <c:pt idx="97">
                  <c:v>0.592857142857143</c:v>
                </c:pt>
                <c:pt idx="98">
                  <c:v>0.651428571428572</c:v>
                </c:pt>
                <c:pt idx="99">
                  <c:v>0.552857142857143</c:v>
                </c:pt>
                <c:pt idx="100">
                  <c:v>0.404285714285714</c:v>
                </c:pt>
                <c:pt idx="101">
                  <c:v>0.278571428571429</c:v>
                </c:pt>
                <c:pt idx="102">
                  <c:v>0.175714285714286</c:v>
                </c:pt>
                <c:pt idx="103">
                  <c:v>0.114285714285714</c:v>
                </c:pt>
                <c:pt idx="104">
                  <c:v>0.0771428571428571</c:v>
                </c:pt>
                <c:pt idx="105">
                  <c:v>0.0542857142857142</c:v>
                </c:pt>
                <c:pt idx="106">
                  <c:v>0.0428571428571428</c:v>
                </c:pt>
                <c:pt idx="107">
                  <c:v>0.04</c:v>
                </c:pt>
                <c:pt idx="108">
                  <c:v>0.04</c:v>
                </c:pt>
                <c:pt idx="109">
                  <c:v>0.04</c:v>
                </c:pt>
                <c:pt idx="110">
                  <c:v>0.0528571428571428</c:v>
                </c:pt>
                <c:pt idx="111">
                  <c:v>0.0671428571428571</c:v>
                </c:pt>
                <c:pt idx="112">
                  <c:v>0.0885714285714285</c:v>
                </c:pt>
                <c:pt idx="113">
                  <c:v>0.154285714285714</c:v>
                </c:pt>
                <c:pt idx="114">
                  <c:v>0.242857142857143</c:v>
                </c:pt>
                <c:pt idx="115">
                  <c:v>0.285714285714286</c:v>
                </c:pt>
                <c:pt idx="116">
                  <c:v>0.3</c:v>
                </c:pt>
                <c:pt idx="117">
                  <c:v>0.29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206073"/>
        <c:axId val="31107571"/>
      </c:lineChart>
      <c:catAx>
        <c:axId val="572060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07571"/>
        <c:crosses val="autoZero"/>
        <c:auto val="1"/>
        <c:lblAlgn val="ctr"/>
        <c:lblOffset val="100"/>
        <c:noMultiLvlLbl val="0"/>
      </c:catAx>
      <c:valAx>
        <c:axId val="311075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060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6</xdr:row>
      <xdr:rowOff>160560</xdr:rowOff>
    </xdr:from>
    <xdr:to>
      <xdr:col>29</xdr:col>
      <xdr:colOff>78480</xdr:colOff>
      <xdr:row>23</xdr:row>
      <xdr:rowOff>49320</xdr:rowOff>
    </xdr:to>
    <xdr:graphicFrame>
      <xdr:nvGraphicFramePr>
        <xdr:cNvPr id="0" name="Chart 1"/>
        <xdr:cNvGraphicFramePr/>
      </xdr:nvGraphicFramePr>
      <xdr:xfrm>
        <a:off x="11959560" y="133344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26</xdr:row>
      <xdr:rowOff>48600</xdr:rowOff>
    </xdr:from>
    <xdr:to>
      <xdr:col>29</xdr:col>
      <xdr:colOff>78480</xdr:colOff>
      <xdr:row>43</xdr:row>
      <xdr:rowOff>49680</xdr:rowOff>
    </xdr:to>
    <xdr:graphicFrame>
      <xdr:nvGraphicFramePr>
        <xdr:cNvPr id="1" name="Chart 2"/>
        <xdr:cNvGraphicFramePr/>
      </xdr:nvGraphicFramePr>
      <xdr:xfrm>
        <a:off x="11959560" y="51436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5</xdr:row>
      <xdr:rowOff>160560</xdr:rowOff>
    </xdr:from>
    <xdr:to>
      <xdr:col>23</xdr:col>
      <xdr:colOff>78480</xdr:colOff>
      <xdr:row>22</xdr:row>
      <xdr:rowOff>49320</xdr:rowOff>
    </xdr:to>
    <xdr:graphicFrame>
      <xdr:nvGraphicFramePr>
        <xdr:cNvPr id="2" name="Chart 1"/>
        <xdr:cNvGraphicFramePr/>
      </xdr:nvGraphicFramePr>
      <xdr:xfrm>
        <a:off x="7095960" y="114300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/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/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4"/>
    </row>
    <row r="20" customFormat="false" ht="15" hidden="false" customHeight="false" outlineLevel="0" collapsed="false">
      <c r="B20" s="3" t="s">
        <v>14</v>
      </c>
    </row>
    <row r="21" customFormat="false" ht="15" hidden="false" customHeight="false" outlineLevel="0" collapsed="false">
      <c r="B21" s="4" t="s">
        <v>15</v>
      </c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4" t="s">
        <v>19</v>
      </c>
    </row>
    <row r="26" customFormat="false" ht="15" hidden="false" customHeight="false" outlineLevel="0" collapsed="false">
      <c r="B26" s="4" t="s">
        <v>20</v>
      </c>
    </row>
    <row r="27" customFormat="false" ht="15" hidden="false" customHeight="false" outlineLevel="0" collapsed="false">
      <c r="B27" s="4" t="s">
        <v>21</v>
      </c>
    </row>
    <row r="28" customFormat="false" ht="15" hidden="false" customHeight="false" outlineLevel="0" collapsed="false">
      <c r="B28" s="4" t="s">
        <v>22</v>
      </c>
    </row>
    <row r="29" customFormat="false" ht="15" hidden="false" customHeight="false" outlineLevel="0" collapsed="false">
      <c r="B29" s="4" t="s">
        <v>23</v>
      </c>
    </row>
    <row r="30" customFormat="false" ht="15" hidden="false" customHeight="false" outlineLevel="0" collapsed="false">
      <c r="B30" s="4"/>
    </row>
    <row r="31" customFormat="false" ht="15" hidden="false" customHeight="false" outlineLevel="0" collapsed="false">
      <c r="B31" s="3" t="s">
        <v>24</v>
      </c>
    </row>
    <row r="32" customFormat="false" ht="15" hidden="false" customHeight="false" outlineLevel="0" collapsed="false">
      <c r="B32" s="4" t="s">
        <v>25</v>
      </c>
    </row>
    <row r="33" customFormat="false" ht="15" hidden="false" customHeight="false" outlineLevel="0" collapsed="false">
      <c r="B33" s="4" t="s">
        <v>26</v>
      </c>
    </row>
    <row r="34" customFormat="false" ht="15" hidden="false" customHeight="false" outlineLevel="0" collapsed="false">
      <c r="B34" s="4" t="s">
        <v>27</v>
      </c>
    </row>
    <row r="35" customFormat="false" ht="15" hidden="false" customHeight="false" outlineLevel="0" collapsed="false">
      <c r="B35" s="4" t="s">
        <v>28</v>
      </c>
    </row>
    <row r="36" customFormat="false" ht="15" hidden="false" customHeight="false" outlineLevel="0" collapsed="false">
      <c r="B36" s="4"/>
    </row>
    <row r="37" customFormat="false" ht="15" hidden="false" customHeight="false" outlineLevel="0" collapsed="false">
      <c r="B37" s="3" t="s">
        <v>29</v>
      </c>
    </row>
    <row r="38" customFormat="false" ht="15" hidden="false" customHeight="false" outlineLevel="0" collapsed="false">
      <c r="B38" s="4" t="s">
        <v>30</v>
      </c>
    </row>
    <row r="39" customFormat="false" ht="15" hidden="false" customHeight="false" outlineLevel="0" collapsed="false">
      <c r="B39" s="4" t="s">
        <v>31</v>
      </c>
    </row>
    <row r="40" customFormat="false" ht="15" hidden="false" customHeight="false" outlineLevel="0" collapsed="false">
      <c r="B40" s="4"/>
    </row>
    <row r="41" customFormat="false" ht="15" hidden="false" customHeight="false" outlineLevel="0" collapsed="false">
      <c r="B41" s="3" t="s">
        <v>32</v>
      </c>
    </row>
    <row r="42" customFormat="false" ht="15" hidden="false" customHeight="false" outlineLevel="0" collapsed="false">
      <c r="B42" s="4" t="s">
        <v>33</v>
      </c>
    </row>
    <row r="43" customFormat="false" ht="15" hidden="false" customHeight="false" outlineLevel="0" collapsed="false">
      <c r="B43" s="4" t="s">
        <v>34</v>
      </c>
    </row>
    <row r="44" customFormat="false" ht="15" hidden="false" customHeight="false" outlineLevel="0" collapsed="false">
      <c r="B44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62"/>
  </cols>
  <sheetData>
    <row r="2" customFormat="false" ht="17.35" hidden="false" customHeight="false" outlineLevel="0" collapsed="false">
      <c r="B2" s="1" t="s">
        <v>36</v>
      </c>
    </row>
    <row r="4" customFormat="false" ht="15" hidden="false" customHeight="false" outlineLevel="0" collapsed="false"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</row>
    <row r="5" customFormat="false" ht="15" hidden="false" customHeight="false" outlineLevel="0" collapsed="false">
      <c r="B5" s="6" t="s">
        <v>43</v>
      </c>
    </row>
    <row r="6" customFormat="false" ht="15" hidden="false" customHeight="false" outlineLevel="0" collapsed="false">
      <c r="B6" s="2" t="s">
        <v>44</v>
      </c>
      <c r="C6" s="7" t="n">
        <v>45510324</v>
      </c>
      <c r="F6" s="2" t="s">
        <v>45</v>
      </c>
      <c r="G6" s="8" t="s">
        <v>46</v>
      </c>
    </row>
    <row r="7" customFormat="false" ht="15" hidden="false" customHeight="false" outlineLevel="0" collapsed="false">
      <c r="B7" s="2" t="s">
        <v>47</v>
      </c>
      <c r="C7" s="9" t="n">
        <v>1</v>
      </c>
      <c r="D7" s="8" t="n">
        <v>0.9</v>
      </c>
      <c r="E7" s="8" t="n">
        <v>1</v>
      </c>
      <c r="F7" s="2" t="s">
        <v>48</v>
      </c>
      <c r="G7" s="8" t="s">
        <v>49</v>
      </c>
    </row>
    <row r="8" customFormat="false" ht="15" hidden="false" customHeight="false" outlineLevel="0" collapsed="false">
      <c r="B8" s="2" t="s">
        <v>50</v>
      </c>
      <c r="C8" s="7" t="n">
        <v>100</v>
      </c>
      <c r="D8" s="8" t="n">
        <v>10</v>
      </c>
      <c r="E8" s="8" t="n">
        <v>500</v>
      </c>
      <c r="F8" s="2" t="s">
        <v>45</v>
      </c>
      <c r="G8" s="8" t="s">
        <v>51</v>
      </c>
    </row>
    <row r="10" customFormat="false" ht="15" hidden="false" customHeight="false" outlineLevel="0" collapsed="false">
      <c r="B10" s="6" t="s">
        <v>52</v>
      </c>
    </row>
    <row r="11" customFormat="false" ht="15" hidden="false" customHeight="false" outlineLevel="0" collapsed="false">
      <c r="B11" s="8" t="s">
        <v>53</v>
      </c>
    </row>
    <row r="12" customFormat="false" ht="15" hidden="false" customHeight="false" outlineLevel="0" collapsed="false">
      <c r="B12" s="2" t="s">
        <v>54</v>
      </c>
      <c r="C12" s="10" t="n">
        <v>10</v>
      </c>
      <c r="D12" s="8" t="n">
        <v>7</v>
      </c>
      <c r="E12" s="8" t="n">
        <v>14</v>
      </c>
      <c r="F12" s="2" t="s">
        <v>55</v>
      </c>
      <c r="G12" s="8" t="s">
        <v>56</v>
      </c>
    </row>
    <row r="13" customFormat="false" ht="15" hidden="false" customHeight="false" outlineLevel="0" collapsed="false">
      <c r="B13" s="2" t="s">
        <v>57</v>
      </c>
      <c r="C13" s="11" t="n">
        <v>0.006</v>
      </c>
      <c r="D13" s="8" t="n">
        <v>0.004</v>
      </c>
      <c r="E13" s="8" t="n">
        <v>0.009</v>
      </c>
      <c r="F13" s="2" t="s">
        <v>48</v>
      </c>
      <c r="G13" s="8" t="s">
        <v>58</v>
      </c>
    </row>
    <row r="14" customFormat="false" ht="15" hidden="false" customHeight="false" outlineLevel="0" collapsed="false">
      <c r="B14" s="2" t="s">
        <v>59</v>
      </c>
      <c r="C14" s="12" t="n">
        <v>3</v>
      </c>
      <c r="D14" s="8" t="n">
        <v>2</v>
      </c>
      <c r="E14" s="8" t="n">
        <v>3</v>
      </c>
      <c r="F14" s="2" t="s">
        <v>60</v>
      </c>
      <c r="G14" s="8" t="s">
        <v>61</v>
      </c>
    </row>
    <row r="15" customFormat="false" ht="15" hidden="false" customHeight="false" outlineLevel="0" collapsed="false">
      <c r="B15" s="2" t="s">
        <v>62</v>
      </c>
      <c r="C15" s="13" t="n">
        <v>0.7</v>
      </c>
      <c r="D15" s="8" t="n">
        <v>0.6</v>
      </c>
      <c r="E15" s="8" t="n">
        <v>0.8</v>
      </c>
      <c r="F15" s="2" t="s">
        <v>48</v>
      </c>
      <c r="G15" s="8" t="s">
        <v>63</v>
      </c>
    </row>
    <row r="17" customFormat="false" ht="15" hidden="false" customHeight="false" outlineLevel="0" collapsed="false">
      <c r="B17" s="6" t="s">
        <v>64</v>
      </c>
    </row>
    <row r="18" customFormat="false" ht="15" hidden="false" customHeight="false" outlineLevel="0" collapsed="false">
      <c r="B18" s="2" t="s">
        <v>65</v>
      </c>
      <c r="C18" s="14" t="n">
        <f aca="false">7/Parametros!$C$12</f>
        <v>0.7</v>
      </c>
      <c r="F18" s="2" t="s">
        <v>66</v>
      </c>
      <c r="G18" s="8" t="s">
        <v>67</v>
      </c>
    </row>
    <row r="19" customFormat="false" ht="15" hidden="false" customHeight="false" outlineLevel="0" collapsed="false">
      <c r="B19" s="2" t="s">
        <v>68</v>
      </c>
      <c r="C19" s="15" t="n">
        <f aca="false">Parametros!$C$6*Parametros!$C$7-Parametros!$C$8</f>
        <v>45510224</v>
      </c>
      <c r="F19" s="2" t="s">
        <v>45</v>
      </c>
    </row>
    <row r="21" customFormat="false" ht="15" hidden="false" customHeight="false" outlineLevel="0" collapsed="false">
      <c r="B21" s="6" t="s">
        <v>69</v>
      </c>
    </row>
    <row r="22" customFormat="false" ht="15" hidden="false" customHeight="false" outlineLevel="0" collapsed="false">
      <c r="B22" s="2" t="s">
        <v>70</v>
      </c>
      <c r="C22" s="7" t="n">
        <v>22459300</v>
      </c>
      <c r="F22" s="2" t="s">
        <v>71</v>
      </c>
      <c r="G22" s="8" t="s">
        <v>72</v>
      </c>
    </row>
    <row r="23" customFormat="false" ht="15" hidden="false" customHeight="false" outlineLevel="0" collapsed="false">
      <c r="B23" s="2" t="s">
        <v>73</v>
      </c>
      <c r="C23" s="7" t="n">
        <v>104164884</v>
      </c>
      <c r="F23" s="2" t="s">
        <v>71</v>
      </c>
      <c r="G23" s="8" t="s">
        <v>74</v>
      </c>
    </row>
    <row r="24" customFormat="false" ht="15" hidden="false" customHeight="false" outlineLevel="0" collapsed="false">
      <c r="B24" s="2" t="s">
        <v>75</v>
      </c>
      <c r="C24" s="16" t="n">
        <f aca="false">Parametros!$C$22/Parametros!$C$23</f>
        <v>0.215612969914122</v>
      </c>
      <c r="F24" s="2" t="s">
        <v>48</v>
      </c>
      <c r="G24" s="8" t="s">
        <v>76</v>
      </c>
    </row>
    <row r="25" customFormat="false" ht="15" hidden="false" customHeight="false" outlineLevel="0" collapsed="false">
      <c r="B25" s="2" t="s">
        <v>77</v>
      </c>
      <c r="C25" s="17"/>
      <c r="F25" s="2" t="s">
        <v>78</v>
      </c>
      <c r="G25" s="8" t="s">
        <v>79</v>
      </c>
    </row>
    <row r="26" customFormat="false" ht="15" hidden="false" customHeight="false" outlineLevel="0" collapsed="false">
      <c r="B26" s="2" t="s">
        <v>80</v>
      </c>
      <c r="C26" s="15" t="str">
        <f aca="false">IF(Parametros!$C$25="","",Parametros!$C$25*Parametros!$C$24)</f>
        <v/>
      </c>
      <c r="G26" s="8" t="s">
        <v>81</v>
      </c>
    </row>
    <row r="28" customFormat="false" ht="15" hidden="false" customHeight="false" outlineLevel="0" collapsed="false">
      <c r="B28" s="18" t="s">
        <v>82</v>
      </c>
    </row>
    <row r="29" customFormat="false" ht="15" hidden="false" customHeight="false" outlineLevel="0" collapsed="false">
      <c r="B29" s="8" t="s">
        <v>83</v>
      </c>
      <c r="C29" s="19"/>
    </row>
    <row r="30" customFormat="false" ht="15" hidden="false" customHeight="false" outlineLevel="0" collapsed="false">
      <c r="B30" s="8" t="s">
        <v>84</v>
      </c>
      <c r="C30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7" min="4" style="0" width="12"/>
    <col collapsed="false" customWidth="true" hidden="false" outlineLevel="0" max="8" min="8" style="0" width="52"/>
  </cols>
  <sheetData>
    <row r="2" customFormat="false" ht="17.35" hidden="false" customHeight="false" outlineLevel="0" collapsed="false">
      <c r="B2" s="1" t="s">
        <v>85</v>
      </c>
    </row>
    <row r="3" customFormat="false" ht="15" hidden="false" customHeight="false" outlineLevel="0" collapsed="false">
      <c r="B3" s="8" t="s">
        <v>86</v>
      </c>
    </row>
    <row r="5" customFormat="false" ht="15" hidden="false" customHeight="false" outlineLevel="0" collapsed="false">
      <c r="B5" s="21" t="s">
        <v>87</v>
      </c>
      <c r="C5" s="21" t="s">
        <v>88</v>
      </c>
      <c r="D5" s="21" t="s">
        <v>89</v>
      </c>
      <c r="E5" s="21" t="s">
        <v>90</v>
      </c>
      <c r="F5" s="21" t="s">
        <v>91</v>
      </c>
      <c r="G5" s="21" t="s">
        <v>92</v>
      </c>
      <c r="H5" s="21" t="s">
        <v>93</v>
      </c>
      <c r="I5" s="21" t="s">
        <v>94</v>
      </c>
    </row>
    <row r="6" customFormat="false" ht="15" hidden="false" customHeight="false" outlineLevel="0" collapsed="false">
      <c r="B6" s="2" t="n">
        <v>1</v>
      </c>
      <c r="C6" s="2" t="s">
        <v>95</v>
      </c>
      <c r="D6" s="22" t="n">
        <v>43898</v>
      </c>
      <c r="E6" s="23" t="n">
        <v>1</v>
      </c>
      <c r="F6" s="24" t="n">
        <f aca="false">F7-1</f>
        <v>110</v>
      </c>
      <c r="G6" s="25" t="n">
        <v>2</v>
      </c>
      <c r="H6" s="26" t="n">
        <f aca="false">G6/Parametros!$C$18</f>
        <v>2.85714285714286</v>
      </c>
      <c r="I6" s="8" t="s">
        <v>96</v>
      </c>
    </row>
    <row r="7" customFormat="false" ht="15" hidden="false" customHeight="false" outlineLevel="0" collapsed="false">
      <c r="B7" s="2" t="n">
        <v>2</v>
      </c>
      <c r="C7" s="2" t="s">
        <v>97</v>
      </c>
      <c r="D7" s="22" t="n">
        <v>43906</v>
      </c>
      <c r="E7" s="23" t="n">
        <v>2</v>
      </c>
      <c r="F7" s="24" t="n">
        <f aca="false">F8-1</f>
        <v>111</v>
      </c>
      <c r="G7" s="25" t="n">
        <v>1.6598</v>
      </c>
      <c r="H7" s="26" t="n">
        <f aca="false">G7/Parametros!$C$18</f>
        <v>2.37114285714286</v>
      </c>
      <c r="I7" s="8" t="s">
        <v>98</v>
      </c>
    </row>
    <row r="8" customFormat="false" ht="15" hidden="false" customHeight="false" outlineLevel="0" collapsed="false">
      <c r="B8" s="2" t="n">
        <v>3</v>
      </c>
      <c r="C8" s="2" t="s">
        <v>99</v>
      </c>
      <c r="D8" s="22" t="n">
        <v>43983</v>
      </c>
      <c r="E8" s="23" t="n">
        <v>13</v>
      </c>
      <c r="F8" s="24" t="n">
        <f aca="false">F9-1</f>
        <v>112</v>
      </c>
      <c r="G8" s="25" t="n">
        <v>0.7636</v>
      </c>
      <c r="H8" s="26" t="n">
        <f aca="false">G8/Parametros!$C$18</f>
        <v>1.09085714285714</v>
      </c>
      <c r="I8" s="8" t="s">
        <v>100</v>
      </c>
    </row>
    <row r="9" customFormat="false" ht="15" hidden="false" customHeight="false" outlineLevel="0" collapsed="false">
      <c r="B9" s="2" t="n">
        <v>4</v>
      </c>
      <c r="C9" s="2" t="s">
        <v>101</v>
      </c>
      <c r="D9" s="22" t="n">
        <v>44136</v>
      </c>
      <c r="E9" s="23" t="n">
        <v>35</v>
      </c>
      <c r="F9" s="24" t="n">
        <f aca="false">F10-1</f>
        <v>113</v>
      </c>
      <c r="G9" s="25" t="n">
        <v>0.734</v>
      </c>
      <c r="H9" s="26" t="n">
        <f aca="false">G9/Parametros!$C$18</f>
        <v>1.04857142857143</v>
      </c>
      <c r="I9" s="8" t="s">
        <v>100</v>
      </c>
    </row>
    <row r="10" customFormat="false" ht="15" hidden="false" customHeight="false" outlineLevel="0" collapsed="false">
      <c r="B10" s="2" t="n">
        <v>5</v>
      </c>
      <c r="C10" s="2" t="s">
        <v>102</v>
      </c>
      <c r="D10" s="22" t="n">
        <v>44194</v>
      </c>
      <c r="E10" s="23" t="n">
        <v>43</v>
      </c>
      <c r="F10" s="24" t="n">
        <f aca="false">F11-1</f>
        <v>114</v>
      </c>
      <c r="G10" s="25" t="n">
        <v>1.0661</v>
      </c>
      <c r="H10" s="26" t="n">
        <f aca="false">G10/Parametros!$C$18</f>
        <v>1.523</v>
      </c>
      <c r="I10" s="8" t="s">
        <v>103</v>
      </c>
    </row>
    <row r="11" customFormat="false" ht="15" hidden="false" customHeight="false" outlineLevel="0" collapsed="false">
      <c r="B11" s="2" t="n">
        <v>6</v>
      </c>
      <c r="C11" s="2" t="s">
        <v>104</v>
      </c>
      <c r="D11" s="22" t="n">
        <v>44287</v>
      </c>
      <c r="E11" s="23" t="n">
        <v>56</v>
      </c>
      <c r="F11" s="24" t="n">
        <f aca="false">F12-1</f>
        <v>115</v>
      </c>
      <c r="G11" s="25" t="n">
        <v>0.9094</v>
      </c>
      <c r="H11" s="26" t="n">
        <f aca="false">G11/Parametros!$C$18</f>
        <v>1.29914285714286</v>
      </c>
      <c r="I11" s="8" t="s">
        <v>100</v>
      </c>
    </row>
    <row r="12" customFormat="false" ht="15" hidden="false" customHeight="false" outlineLevel="0" collapsed="false">
      <c r="B12" s="2" t="n">
        <v>7</v>
      </c>
      <c r="C12" s="2" t="s">
        <v>105</v>
      </c>
      <c r="D12" s="22" t="n">
        <v>44378</v>
      </c>
      <c r="E12" s="23" t="n">
        <v>69</v>
      </c>
      <c r="F12" s="24" t="n">
        <f aca="false">F13-1</f>
        <v>116</v>
      </c>
      <c r="G12" s="25" t="n">
        <v>1.0526</v>
      </c>
      <c r="H12" s="26" t="n">
        <f aca="false">G12/Parametros!$C$18</f>
        <v>1.50371428571429</v>
      </c>
      <c r="I12" s="8" t="s">
        <v>106</v>
      </c>
    </row>
    <row r="13" customFormat="false" ht="15" hidden="false" customHeight="false" outlineLevel="0" collapsed="false">
      <c r="B13" s="2" t="n">
        <v>8</v>
      </c>
      <c r="C13" s="2" t="s">
        <v>107</v>
      </c>
      <c r="D13" s="22" t="n">
        <v>44531</v>
      </c>
      <c r="E13" s="23" t="n">
        <v>91</v>
      </c>
      <c r="F13" s="24" t="n">
        <f aca="false">F14-1</f>
        <v>117</v>
      </c>
      <c r="G13" s="25" t="n">
        <v>1.2696</v>
      </c>
      <c r="H13" s="26" t="n">
        <f aca="false">G13/Parametros!$C$18</f>
        <v>1.81371428571429</v>
      </c>
      <c r="I13" s="8" t="s">
        <v>100</v>
      </c>
    </row>
    <row r="14" customFormat="false" ht="15" hidden="false" customHeight="false" outlineLevel="0" collapsed="false">
      <c r="B14" s="2" t="n">
        <v>9</v>
      </c>
      <c r="C14" s="2" t="s">
        <v>108</v>
      </c>
      <c r="D14" s="22" t="n">
        <v>44621</v>
      </c>
      <c r="E14" s="23" t="n">
        <v>104</v>
      </c>
      <c r="F14" s="24" t="n">
        <v>118</v>
      </c>
      <c r="G14" s="25" t="n">
        <v>0.815</v>
      </c>
      <c r="H14" s="26" t="n">
        <f aca="false">G14/Parametros!$C$18</f>
        <v>1.16428571428571</v>
      </c>
      <c r="I14" s="8" t="s">
        <v>100</v>
      </c>
    </row>
    <row r="16" customFormat="false" ht="15" hidden="false" customHeight="false" outlineLevel="0" collapsed="false">
      <c r="B16" s="8" t="s">
        <v>109</v>
      </c>
    </row>
    <row r="17" customFormat="false" ht="15" hidden="false" customHeight="false" outlineLevel="0" collapsed="false">
      <c r="B17" s="8" t="s">
        <v>110</v>
      </c>
    </row>
    <row r="18" customFormat="false" ht="15" hidden="false" customHeight="false" outlineLevel="0" collapsed="false">
      <c r="B18" s="8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15"/>
  </cols>
  <sheetData>
    <row r="2" customFormat="false" ht="17.35" hidden="false" customHeight="false" outlineLevel="0" collapsed="false">
      <c r="B2" s="1" t="s">
        <v>112</v>
      </c>
    </row>
    <row r="3" customFormat="false" ht="15" hidden="false" customHeight="false" outlineLevel="0" collapsed="false">
      <c r="B3" s="8" t="s">
        <v>113</v>
      </c>
    </row>
    <row r="5" customFormat="false" ht="23.85" hidden="false" customHeight="false" outlineLevel="0" collapsed="false">
      <c r="B5" s="21" t="s">
        <v>114</v>
      </c>
      <c r="C5" s="21" t="s">
        <v>115</v>
      </c>
      <c r="D5" s="21" t="s">
        <v>116</v>
      </c>
      <c r="E5" s="21" t="s">
        <v>117</v>
      </c>
      <c r="F5" s="21" t="s">
        <v>118</v>
      </c>
      <c r="G5" s="21" t="s">
        <v>119</v>
      </c>
      <c r="H5" s="21" t="s">
        <v>120</v>
      </c>
      <c r="I5" s="21" t="s">
        <v>121</v>
      </c>
    </row>
    <row r="6" customFormat="false" ht="15" hidden="false" customHeight="false" outlineLevel="0" collapsed="false">
      <c r="B6" s="2" t="n">
        <v>1</v>
      </c>
      <c r="C6" s="27" t="n">
        <v>43898</v>
      </c>
      <c r="D6" s="28" t="n">
        <v>22</v>
      </c>
      <c r="E6" s="28" t="n">
        <v>1</v>
      </c>
      <c r="F6" s="28" t="n">
        <v>45.5</v>
      </c>
      <c r="G6" s="29" t="n">
        <v>0.103333333333333</v>
      </c>
      <c r="H6" s="30"/>
      <c r="I6" s="28" t="n">
        <v>0</v>
      </c>
    </row>
    <row r="7" customFormat="false" ht="15" hidden="false" customHeight="false" outlineLevel="0" collapsed="false">
      <c r="B7" s="2" t="n">
        <v>2</v>
      </c>
      <c r="C7" s="27" t="n">
        <v>43905</v>
      </c>
      <c r="D7" s="28" t="n">
        <v>109</v>
      </c>
      <c r="E7" s="28" t="n">
        <v>8</v>
      </c>
      <c r="F7" s="28" t="n">
        <v>204</v>
      </c>
      <c r="G7" s="29" t="n">
        <v>0.21</v>
      </c>
      <c r="H7" s="30"/>
      <c r="I7" s="28" t="n">
        <v>0</v>
      </c>
    </row>
    <row r="8" customFormat="false" ht="15" hidden="false" customHeight="false" outlineLevel="0" collapsed="false">
      <c r="B8" s="2" t="n">
        <v>3</v>
      </c>
      <c r="C8" s="27" t="n">
        <v>43912</v>
      </c>
      <c r="D8" s="28" t="n">
        <v>405</v>
      </c>
      <c r="E8" s="28" t="n">
        <v>11</v>
      </c>
      <c r="F8" s="28" t="n">
        <v>867</v>
      </c>
      <c r="G8" s="29" t="n">
        <v>0.16</v>
      </c>
      <c r="H8" s="30" t="n">
        <v>2.375</v>
      </c>
      <c r="I8" s="28" t="n">
        <v>0</v>
      </c>
    </row>
    <row r="9" customFormat="false" ht="15" hidden="false" customHeight="false" outlineLevel="0" collapsed="false">
      <c r="B9" s="2" t="n">
        <v>4</v>
      </c>
      <c r="C9" s="27" t="n">
        <v>43919</v>
      </c>
      <c r="D9" s="28" t="n">
        <v>746</v>
      </c>
      <c r="E9" s="28" t="n">
        <v>50</v>
      </c>
      <c r="F9" s="28" t="n">
        <v>2551</v>
      </c>
      <c r="G9" s="29" t="n">
        <v>0.237142857142857</v>
      </c>
      <c r="H9" s="30" t="n">
        <v>1.96714285714286</v>
      </c>
      <c r="I9" s="28" t="n">
        <v>0</v>
      </c>
    </row>
    <row r="10" customFormat="false" ht="15" hidden="false" customHeight="false" outlineLevel="0" collapsed="false">
      <c r="B10" s="2" t="n">
        <v>5</v>
      </c>
      <c r="C10" s="27" t="n">
        <v>43926</v>
      </c>
      <c r="D10" s="28" t="n">
        <v>791</v>
      </c>
      <c r="E10" s="28" t="n">
        <v>61</v>
      </c>
      <c r="F10" s="28" t="n">
        <v>5891</v>
      </c>
      <c r="G10" s="29" t="n">
        <v>0.175714285714286</v>
      </c>
      <c r="H10" s="30" t="n">
        <v>1.46571428571429</v>
      </c>
      <c r="I10" s="28" t="n">
        <v>0</v>
      </c>
    </row>
    <row r="11" customFormat="false" ht="15" hidden="false" customHeight="false" outlineLevel="0" collapsed="false">
      <c r="B11" s="2" t="n">
        <v>6</v>
      </c>
      <c r="C11" s="27" t="n">
        <v>43933</v>
      </c>
      <c r="D11" s="28" t="n">
        <v>917</v>
      </c>
      <c r="E11" s="28" t="n">
        <v>74</v>
      </c>
      <c r="F11" s="28" t="n">
        <v>10760</v>
      </c>
      <c r="G11" s="29" t="n">
        <v>0.102857142857143</v>
      </c>
      <c r="H11" s="30" t="n">
        <v>1.15428571428571</v>
      </c>
      <c r="I11" s="28" t="n">
        <v>0</v>
      </c>
    </row>
    <row r="12" customFormat="false" ht="15" hidden="false" customHeight="false" outlineLevel="0" collapsed="false">
      <c r="B12" s="2" t="n">
        <v>7</v>
      </c>
      <c r="C12" s="27" t="n">
        <v>43940</v>
      </c>
      <c r="D12" s="28" t="n">
        <v>1076</v>
      </c>
      <c r="E12" s="28" t="n">
        <v>74</v>
      </c>
      <c r="F12" s="28" t="n">
        <v>13754</v>
      </c>
      <c r="G12" s="29" t="n">
        <v>0.0928571428571428</v>
      </c>
      <c r="H12" s="30" t="n">
        <v>1.13714285714286</v>
      </c>
      <c r="I12" s="28" t="n">
        <v>0</v>
      </c>
    </row>
    <row r="13" customFormat="false" ht="15" hidden="false" customHeight="false" outlineLevel="0" collapsed="false">
      <c r="B13" s="2" t="n">
        <v>8</v>
      </c>
      <c r="C13" s="27" t="n">
        <v>43947</v>
      </c>
      <c r="D13" s="28" t="n">
        <v>1398</v>
      </c>
      <c r="E13" s="28" t="n">
        <v>132</v>
      </c>
      <c r="F13" s="28" t="n">
        <v>16997</v>
      </c>
      <c r="G13" s="29" t="n">
        <v>0.0857142857142857</v>
      </c>
      <c r="H13" s="30" t="n">
        <v>1.24</v>
      </c>
      <c r="I13" s="28" t="n">
        <v>0</v>
      </c>
    </row>
    <row r="14" customFormat="false" ht="15" hidden="false" customHeight="false" outlineLevel="0" collapsed="false">
      <c r="B14" s="2" t="n">
        <v>9</v>
      </c>
      <c r="C14" s="27" t="n">
        <v>43954</v>
      </c>
      <c r="D14" s="28" t="n">
        <v>1289</v>
      </c>
      <c r="E14" s="28" t="n">
        <v>115</v>
      </c>
      <c r="F14" s="28" t="n">
        <v>18485</v>
      </c>
      <c r="G14" s="29" t="n">
        <v>0.0857142857142857</v>
      </c>
      <c r="H14" s="30" t="n">
        <v>1.06857142857143</v>
      </c>
      <c r="I14" s="28" t="n">
        <v>0</v>
      </c>
    </row>
    <row r="15" customFormat="false" ht="15" hidden="false" customHeight="false" outlineLevel="0" collapsed="false">
      <c r="B15" s="2" t="n">
        <v>10</v>
      </c>
      <c r="C15" s="27" t="n">
        <v>43961</v>
      </c>
      <c r="D15" s="28" t="n">
        <v>1897</v>
      </c>
      <c r="E15" s="28" t="n">
        <v>120</v>
      </c>
      <c r="F15" s="28" t="n">
        <v>22188</v>
      </c>
      <c r="G15" s="29" t="n">
        <v>0.08</v>
      </c>
      <c r="H15" s="30" t="n">
        <v>1.26857142857143</v>
      </c>
      <c r="I15" s="28" t="n">
        <v>0</v>
      </c>
    </row>
    <row r="16" customFormat="false" ht="15" hidden="false" customHeight="false" outlineLevel="0" collapsed="false">
      <c r="B16" s="2" t="n">
        <v>11</v>
      </c>
      <c r="C16" s="27" t="n">
        <v>43968</v>
      </c>
      <c r="D16" s="28" t="n">
        <v>2910</v>
      </c>
      <c r="E16" s="28" t="n">
        <v>144</v>
      </c>
      <c r="F16" s="28" t="n">
        <v>25877</v>
      </c>
      <c r="G16" s="29" t="n">
        <v>0.0999999999999999</v>
      </c>
      <c r="H16" s="30" t="n">
        <v>1.43</v>
      </c>
      <c r="I16" s="28" t="n">
        <v>0</v>
      </c>
    </row>
    <row r="17" customFormat="false" ht="15" hidden="false" customHeight="false" outlineLevel="0" collapsed="false">
      <c r="B17" s="2" t="n">
        <v>12</v>
      </c>
      <c r="C17" s="27" t="n">
        <v>43975</v>
      </c>
      <c r="D17" s="28" t="n">
        <v>5061</v>
      </c>
      <c r="E17" s="28" t="n">
        <v>219</v>
      </c>
      <c r="F17" s="28" t="n">
        <v>32115</v>
      </c>
      <c r="G17" s="29" t="n">
        <v>0.122857142857143</v>
      </c>
      <c r="H17" s="30" t="n">
        <v>1.55428571428571</v>
      </c>
      <c r="I17" s="28" t="n">
        <v>0</v>
      </c>
    </row>
    <row r="18" customFormat="false" ht="15" hidden="false" customHeight="false" outlineLevel="0" collapsed="false">
      <c r="B18" s="2" t="n">
        <v>13</v>
      </c>
      <c r="C18" s="27" t="n">
        <v>43982</v>
      </c>
      <c r="D18" s="28" t="n">
        <v>5785</v>
      </c>
      <c r="E18" s="28" t="n">
        <v>297</v>
      </c>
      <c r="F18" s="28" t="n">
        <v>36128</v>
      </c>
      <c r="G18" s="29" t="n">
        <v>0.154285714285714</v>
      </c>
      <c r="H18" s="30" t="n">
        <v>1.33714285714286</v>
      </c>
      <c r="I18" s="28" t="n">
        <v>0</v>
      </c>
    </row>
    <row r="19" customFormat="false" ht="15" hidden="false" customHeight="false" outlineLevel="0" collapsed="false">
      <c r="B19" s="2" t="n">
        <v>14</v>
      </c>
      <c r="C19" s="27" t="n">
        <v>43989</v>
      </c>
      <c r="D19" s="28" t="n">
        <v>7297</v>
      </c>
      <c r="E19" s="28" t="n">
        <v>358</v>
      </c>
      <c r="F19" s="28" t="n">
        <v>40385</v>
      </c>
      <c r="G19" s="29" t="n">
        <v>0.17</v>
      </c>
      <c r="H19" s="30" t="n">
        <v>1.26571428571429</v>
      </c>
      <c r="I19" s="28" t="n">
        <v>0</v>
      </c>
    </row>
    <row r="20" customFormat="false" ht="15" hidden="false" customHeight="false" outlineLevel="0" collapsed="false">
      <c r="B20" s="2" t="n">
        <v>15</v>
      </c>
      <c r="C20" s="27" t="n">
        <v>43996</v>
      </c>
      <c r="D20" s="28" t="n">
        <v>10685</v>
      </c>
      <c r="E20" s="28" t="n">
        <v>458</v>
      </c>
      <c r="F20" s="28" t="n">
        <v>47345</v>
      </c>
      <c r="G20" s="29" t="n">
        <v>0.202857142857143</v>
      </c>
      <c r="H20" s="30" t="n">
        <v>1.32857142857143</v>
      </c>
      <c r="I20" s="28" t="n">
        <v>0</v>
      </c>
    </row>
    <row r="21" customFormat="false" ht="15" hidden="false" customHeight="false" outlineLevel="0" collapsed="false">
      <c r="B21" s="2" t="n">
        <v>16</v>
      </c>
      <c r="C21" s="27" t="n">
        <v>44003</v>
      </c>
      <c r="D21" s="28" t="n">
        <v>14050</v>
      </c>
      <c r="E21" s="28" t="n">
        <v>602</v>
      </c>
      <c r="F21" s="28" t="n">
        <v>56427</v>
      </c>
      <c r="G21" s="29" t="n">
        <v>0.234285714285714</v>
      </c>
      <c r="H21" s="30" t="n">
        <v>1.32714285714286</v>
      </c>
      <c r="I21" s="28" t="n">
        <v>0</v>
      </c>
    </row>
    <row r="22" customFormat="false" ht="15" hidden="false" customHeight="false" outlineLevel="0" collapsed="false">
      <c r="B22" s="2" t="n">
        <v>17</v>
      </c>
      <c r="C22" s="27" t="n">
        <v>44010</v>
      </c>
      <c r="D22" s="28" t="n">
        <v>19007</v>
      </c>
      <c r="E22" s="28" t="n">
        <v>776</v>
      </c>
      <c r="F22" s="28" t="n">
        <v>70558</v>
      </c>
      <c r="G22" s="29" t="n">
        <v>0.261428571428571</v>
      </c>
      <c r="H22" s="30" t="n">
        <v>1.31714285714286</v>
      </c>
      <c r="I22" s="28" t="n">
        <v>0</v>
      </c>
    </row>
    <row r="23" customFormat="false" ht="15" hidden="false" customHeight="false" outlineLevel="0" collapsed="false">
      <c r="B23" s="2" t="n">
        <v>18</v>
      </c>
      <c r="C23" s="27" t="n">
        <v>44017</v>
      </c>
      <c r="D23" s="28" t="n">
        <v>20195</v>
      </c>
      <c r="E23" s="28" t="n">
        <v>903</v>
      </c>
      <c r="F23" s="28" t="n">
        <v>73916</v>
      </c>
      <c r="G23" s="29" t="n">
        <v>0.281428571428572</v>
      </c>
      <c r="H23" s="30" t="n">
        <v>1.18142857142857</v>
      </c>
      <c r="I23" s="28" t="n">
        <v>0</v>
      </c>
    </row>
    <row r="24" customFormat="false" ht="15" hidden="false" customHeight="false" outlineLevel="0" collapsed="false">
      <c r="B24" s="2" t="n">
        <v>19</v>
      </c>
      <c r="C24" s="27" t="n">
        <v>44024</v>
      </c>
      <c r="D24" s="28" t="n">
        <v>24971</v>
      </c>
      <c r="E24" s="28" t="n">
        <v>1153</v>
      </c>
      <c r="F24" s="28" t="n">
        <v>80888</v>
      </c>
      <c r="G24" s="29" t="n">
        <v>0.304285714285714</v>
      </c>
      <c r="H24" s="30" t="n">
        <v>1.19285714285714</v>
      </c>
      <c r="I24" s="28" t="n">
        <v>0</v>
      </c>
    </row>
    <row r="25" customFormat="false" ht="15" hidden="false" customHeight="false" outlineLevel="0" collapsed="false">
      <c r="B25" s="2" t="n">
        <v>20</v>
      </c>
      <c r="C25" s="27" t="n">
        <v>44031</v>
      </c>
      <c r="D25" s="28" t="n">
        <v>31572</v>
      </c>
      <c r="E25" s="28" t="n">
        <v>1374</v>
      </c>
      <c r="F25" s="28" t="n">
        <v>90712</v>
      </c>
      <c r="G25" s="29" t="n">
        <v>0.312857142857143</v>
      </c>
      <c r="H25" s="30" t="n">
        <v>1.20428571428571</v>
      </c>
      <c r="I25" s="28" t="n">
        <v>0</v>
      </c>
    </row>
    <row r="26" customFormat="false" ht="15" hidden="false" customHeight="false" outlineLevel="0" collapsed="false">
      <c r="B26" s="2" t="n">
        <v>21</v>
      </c>
      <c r="C26" s="27" t="n">
        <v>44038</v>
      </c>
      <c r="D26" s="28" t="n">
        <v>39247</v>
      </c>
      <c r="E26" s="28" t="n">
        <v>1544</v>
      </c>
      <c r="F26" s="28" t="n">
        <v>108723</v>
      </c>
      <c r="G26" s="29" t="n">
        <v>0.34</v>
      </c>
      <c r="H26" s="30" t="n">
        <v>1.23714285714286</v>
      </c>
      <c r="I26" s="28" t="n">
        <v>0</v>
      </c>
    </row>
    <row r="27" customFormat="false" ht="15" hidden="false" customHeight="false" outlineLevel="0" collapsed="false">
      <c r="B27" s="2" t="n">
        <v>22</v>
      </c>
      <c r="C27" s="27" t="n">
        <v>44045</v>
      </c>
      <c r="D27" s="28" t="n">
        <v>41965</v>
      </c>
      <c r="E27" s="28" t="n">
        <v>1456</v>
      </c>
      <c r="F27" s="28" t="n">
        <v>120997</v>
      </c>
      <c r="G27" s="29" t="n">
        <v>0.345714285714286</v>
      </c>
      <c r="H27" s="30" t="n">
        <v>1.15571428571429</v>
      </c>
      <c r="I27" s="28" t="n">
        <v>0</v>
      </c>
    </row>
    <row r="28" customFormat="false" ht="15" hidden="false" customHeight="false" outlineLevel="0" collapsed="false">
      <c r="B28" s="2" t="n">
        <v>23</v>
      </c>
      <c r="C28" s="27" t="n">
        <v>44052</v>
      </c>
      <c r="D28" s="28" t="n">
        <v>51641</v>
      </c>
      <c r="E28" s="28" t="n">
        <v>1762</v>
      </c>
      <c r="F28" s="28" t="n">
        <v>136295</v>
      </c>
      <c r="G28" s="29" t="n">
        <v>0.357142857142857</v>
      </c>
      <c r="H28" s="30" t="n">
        <v>1.14</v>
      </c>
      <c r="I28" s="28" t="n">
        <v>0</v>
      </c>
    </row>
    <row r="29" customFormat="false" ht="15" hidden="false" customHeight="false" outlineLevel="0" collapsed="false">
      <c r="B29" s="2" t="n">
        <v>24</v>
      </c>
      <c r="C29" s="27" t="n">
        <v>44059</v>
      </c>
      <c r="D29" s="28" t="n">
        <v>48677</v>
      </c>
      <c r="E29" s="28" t="n">
        <v>1662</v>
      </c>
      <c r="F29" s="28" t="n">
        <v>151601</v>
      </c>
      <c r="G29" s="29" t="n">
        <v>0.334285714285714</v>
      </c>
      <c r="H29" s="30" t="n">
        <v>1.06714285714286</v>
      </c>
      <c r="I29" s="28" t="n">
        <v>0</v>
      </c>
    </row>
    <row r="30" customFormat="false" ht="15" hidden="false" customHeight="false" outlineLevel="0" collapsed="false">
      <c r="B30" s="2" t="n">
        <v>25</v>
      </c>
      <c r="C30" s="27" t="n">
        <v>44066</v>
      </c>
      <c r="D30" s="28" t="n">
        <v>51183</v>
      </c>
      <c r="E30" s="28" t="n">
        <v>1877</v>
      </c>
      <c r="F30" s="28" t="n">
        <v>145018</v>
      </c>
      <c r="G30" s="29" t="n">
        <v>0.335714285714286</v>
      </c>
      <c r="H30" s="30" t="n">
        <v>1.09857142857143</v>
      </c>
      <c r="I30" s="28" t="n">
        <v>0</v>
      </c>
    </row>
    <row r="31" customFormat="false" ht="15" hidden="false" customHeight="false" outlineLevel="0" collapsed="false">
      <c r="B31" s="2" t="n">
        <v>26</v>
      </c>
      <c r="C31" s="27" t="n">
        <v>44073</v>
      </c>
      <c r="D31" s="28" t="n">
        <v>68979</v>
      </c>
      <c r="E31" s="28" t="n">
        <v>2260</v>
      </c>
      <c r="F31" s="28" t="n">
        <v>161262</v>
      </c>
      <c r="G31" s="29" t="n">
        <v>0.38</v>
      </c>
      <c r="H31" s="30" t="n">
        <v>1.18714285714286</v>
      </c>
      <c r="I31" s="28" t="n">
        <v>0</v>
      </c>
    </row>
    <row r="32" customFormat="false" ht="15" hidden="false" customHeight="false" outlineLevel="0" collapsed="false">
      <c r="B32" s="2" t="n">
        <v>27</v>
      </c>
      <c r="C32" s="27" t="n">
        <v>44080</v>
      </c>
      <c r="D32" s="28" t="n">
        <v>72320</v>
      </c>
      <c r="E32" s="28" t="n">
        <v>2324</v>
      </c>
      <c r="F32" s="28" t="n">
        <v>177607</v>
      </c>
      <c r="G32" s="29" t="n">
        <v>0.4</v>
      </c>
      <c r="H32" s="30" t="n">
        <v>1.12</v>
      </c>
      <c r="I32" s="28" t="n">
        <v>0</v>
      </c>
    </row>
    <row r="33" customFormat="false" ht="15" hidden="false" customHeight="false" outlineLevel="0" collapsed="false">
      <c r="B33" s="2" t="n">
        <v>28</v>
      </c>
      <c r="C33" s="27" t="n">
        <v>44087</v>
      </c>
      <c r="D33" s="28" t="n">
        <v>78158</v>
      </c>
      <c r="E33" s="28" t="n">
        <v>2446</v>
      </c>
      <c r="F33" s="28" t="n">
        <v>184718</v>
      </c>
      <c r="G33" s="29" t="n">
        <v>0.402857142857143</v>
      </c>
      <c r="H33" s="30" t="n">
        <v>1.08285714285714</v>
      </c>
      <c r="I33" s="28" t="n">
        <v>0</v>
      </c>
    </row>
    <row r="34" customFormat="false" ht="15" hidden="false" customHeight="false" outlineLevel="0" collapsed="false">
      <c r="B34" s="2" t="n">
        <v>29</v>
      </c>
      <c r="C34" s="27" t="n">
        <v>44094</v>
      </c>
      <c r="D34" s="28" t="n">
        <v>75330</v>
      </c>
      <c r="E34" s="28" t="n">
        <v>2340</v>
      </c>
      <c r="F34" s="28" t="n">
        <v>191766</v>
      </c>
      <c r="G34" s="29" t="n">
        <v>0.398571428571429</v>
      </c>
      <c r="H34" s="30" t="n">
        <v>1.03857142857143</v>
      </c>
      <c r="I34" s="28" t="n">
        <v>0</v>
      </c>
    </row>
    <row r="35" customFormat="false" ht="15" hidden="false" customHeight="false" outlineLevel="0" collapsed="false">
      <c r="B35" s="2" t="n">
        <v>30</v>
      </c>
      <c r="C35" s="27" t="n">
        <v>44101</v>
      </c>
      <c r="D35" s="28" t="n">
        <v>81712</v>
      </c>
      <c r="E35" s="28" t="n">
        <v>2456</v>
      </c>
      <c r="F35" s="28" t="n">
        <v>188188</v>
      </c>
      <c r="G35" s="29" t="n">
        <v>0.395714285714286</v>
      </c>
      <c r="H35" s="30" t="n">
        <v>1.05857142857143</v>
      </c>
      <c r="I35" s="28" t="n">
        <v>0</v>
      </c>
    </row>
    <row r="36" customFormat="false" ht="15" hidden="false" customHeight="false" outlineLevel="0" collapsed="false">
      <c r="B36" s="2" t="n">
        <v>31</v>
      </c>
      <c r="C36" s="27" t="n">
        <v>44108</v>
      </c>
      <c r="D36" s="28" t="n">
        <v>87054</v>
      </c>
      <c r="E36" s="28" t="n">
        <v>2523</v>
      </c>
      <c r="F36" s="28" t="n">
        <v>200296</v>
      </c>
      <c r="G36" s="29" t="n">
        <v>0.41</v>
      </c>
      <c r="H36" s="30" t="n">
        <v>1.06857142857143</v>
      </c>
      <c r="I36" s="28" t="n">
        <v>0</v>
      </c>
    </row>
    <row r="37" customFormat="false" ht="15" hidden="false" customHeight="false" outlineLevel="0" collapsed="false">
      <c r="B37" s="2" t="n">
        <v>32</v>
      </c>
      <c r="C37" s="27" t="n">
        <v>44115</v>
      </c>
      <c r="D37" s="28" t="n">
        <v>96217</v>
      </c>
      <c r="E37" s="28" t="n">
        <v>2602</v>
      </c>
      <c r="F37" s="28" t="n">
        <v>216097</v>
      </c>
      <c r="G37" s="29" t="n">
        <v>0.391428571428571</v>
      </c>
      <c r="H37" s="30" t="n">
        <v>1.06285714285714</v>
      </c>
      <c r="I37" s="28" t="n">
        <v>0</v>
      </c>
    </row>
    <row r="38" customFormat="false" ht="15" hidden="false" customHeight="false" outlineLevel="0" collapsed="false">
      <c r="B38" s="2" t="n">
        <v>33</v>
      </c>
      <c r="C38" s="27" t="n">
        <v>44122</v>
      </c>
      <c r="D38" s="28" t="n">
        <v>95982</v>
      </c>
      <c r="E38" s="28" t="n">
        <v>2449</v>
      </c>
      <c r="F38" s="28" t="n">
        <v>217450</v>
      </c>
      <c r="G38" s="29" t="n">
        <v>0.395714285714286</v>
      </c>
      <c r="H38" s="30" t="n">
        <v>1.05714285714286</v>
      </c>
      <c r="I38" s="28" t="n">
        <v>0</v>
      </c>
    </row>
    <row r="39" customFormat="false" ht="15" hidden="false" customHeight="false" outlineLevel="0" collapsed="false">
      <c r="B39" s="2" t="n">
        <v>34</v>
      </c>
      <c r="C39" s="27" t="n">
        <v>44129</v>
      </c>
      <c r="D39" s="28" t="n">
        <v>97588</v>
      </c>
      <c r="E39" s="28" t="n">
        <v>2348</v>
      </c>
      <c r="F39" s="28" t="n">
        <v>248189</v>
      </c>
      <c r="G39" s="29" t="n">
        <v>0.362857142857143</v>
      </c>
      <c r="H39" s="30" t="n">
        <v>1.01142857142857</v>
      </c>
      <c r="I39" s="28" t="n">
        <v>0</v>
      </c>
    </row>
    <row r="40" customFormat="false" ht="15" hidden="false" customHeight="false" outlineLevel="0" collapsed="false">
      <c r="B40" s="2" t="n">
        <v>35</v>
      </c>
      <c r="C40" s="27" t="n">
        <v>44136</v>
      </c>
      <c r="D40" s="28" t="n">
        <v>81504</v>
      </c>
      <c r="E40" s="28" t="n">
        <v>1854</v>
      </c>
      <c r="F40" s="28" t="n">
        <v>227146</v>
      </c>
      <c r="G40" s="29" t="n">
        <v>0.33</v>
      </c>
      <c r="H40" s="30" t="n">
        <v>0.897142857142857</v>
      </c>
      <c r="I40" s="28" t="n">
        <v>0</v>
      </c>
    </row>
    <row r="41" customFormat="false" ht="15" hidden="false" customHeight="false" outlineLevel="0" collapsed="false">
      <c r="B41" s="2" t="n">
        <v>36</v>
      </c>
      <c r="C41" s="27" t="n">
        <v>44143</v>
      </c>
      <c r="D41" s="28" t="n">
        <v>70725</v>
      </c>
      <c r="E41" s="28" t="n">
        <v>1683</v>
      </c>
      <c r="F41" s="28" t="n">
        <v>207932</v>
      </c>
      <c r="G41" s="29" t="n">
        <v>0.292857142857143</v>
      </c>
      <c r="H41" s="30" t="n">
        <v>0.87</v>
      </c>
      <c r="I41" s="28" t="n">
        <v>0</v>
      </c>
    </row>
    <row r="42" customFormat="false" ht="15" hidden="false" customHeight="false" outlineLevel="0" collapsed="false">
      <c r="B42" s="2" t="n">
        <v>37</v>
      </c>
      <c r="C42" s="27" t="n">
        <v>44150</v>
      </c>
      <c r="D42" s="28" t="n">
        <v>67129</v>
      </c>
      <c r="E42" s="28" t="n">
        <v>1452</v>
      </c>
      <c r="F42" s="28" t="n">
        <v>201432</v>
      </c>
      <c r="G42" s="29" t="n">
        <v>0.28</v>
      </c>
      <c r="H42" s="30" t="n">
        <v>0.917142857142857</v>
      </c>
      <c r="I42" s="28" t="n">
        <v>0</v>
      </c>
    </row>
    <row r="43" customFormat="false" ht="15" hidden="false" customHeight="false" outlineLevel="0" collapsed="false">
      <c r="B43" s="2" t="n">
        <v>38</v>
      </c>
      <c r="C43" s="27" t="n">
        <v>44157</v>
      </c>
      <c r="D43" s="28" t="n">
        <v>57887</v>
      </c>
      <c r="E43" s="28" t="n">
        <v>1170</v>
      </c>
      <c r="F43" s="28" t="n">
        <v>198898</v>
      </c>
      <c r="G43" s="29" t="n">
        <v>0.254285714285714</v>
      </c>
      <c r="H43" s="30" t="n">
        <v>0.878571428571429</v>
      </c>
      <c r="I43" s="28" t="n">
        <v>0</v>
      </c>
    </row>
    <row r="44" customFormat="false" ht="15" hidden="false" customHeight="false" outlineLevel="0" collapsed="false">
      <c r="B44" s="2" t="n">
        <v>39</v>
      </c>
      <c r="C44" s="27" t="n">
        <v>44164</v>
      </c>
      <c r="D44" s="28" t="n">
        <v>48034</v>
      </c>
      <c r="E44" s="28" t="n">
        <v>943</v>
      </c>
      <c r="F44" s="28" t="n">
        <v>178898</v>
      </c>
      <c r="G44" s="29" t="n">
        <v>0.221428571428571</v>
      </c>
      <c r="H44" s="30" t="n">
        <v>0.867142857142857</v>
      </c>
      <c r="I44" s="28" t="n">
        <v>0</v>
      </c>
    </row>
    <row r="45" customFormat="false" ht="15" hidden="false" customHeight="false" outlineLevel="0" collapsed="false">
      <c r="B45" s="2" t="n">
        <v>40</v>
      </c>
      <c r="C45" s="27" t="n">
        <v>44171</v>
      </c>
      <c r="D45" s="28" t="n">
        <v>42762</v>
      </c>
      <c r="E45" s="28" t="n">
        <v>862</v>
      </c>
      <c r="F45" s="28" t="n">
        <v>185014</v>
      </c>
      <c r="G45" s="29" t="n">
        <v>0.198571428571429</v>
      </c>
      <c r="H45" s="30" t="n">
        <v>0.855714285714286</v>
      </c>
      <c r="I45" s="28" t="n">
        <v>0</v>
      </c>
    </row>
    <row r="46" customFormat="false" ht="15" hidden="false" customHeight="false" outlineLevel="0" collapsed="false">
      <c r="B46" s="2" t="n">
        <v>41</v>
      </c>
      <c r="C46" s="27" t="n">
        <v>44178</v>
      </c>
      <c r="D46" s="28" t="n">
        <v>35314</v>
      </c>
      <c r="E46" s="28" t="n">
        <v>795</v>
      </c>
      <c r="F46" s="28" t="n">
        <v>156555</v>
      </c>
      <c r="G46" s="29" t="n">
        <v>0.181428571428571</v>
      </c>
      <c r="H46" s="30" t="n">
        <v>0.901428571428571</v>
      </c>
      <c r="I46" s="28" t="n">
        <v>0</v>
      </c>
    </row>
    <row r="47" customFormat="false" ht="15" hidden="false" customHeight="false" outlineLevel="0" collapsed="false">
      <c r="B47" s="2" t="n">
        <v>42</v>
      </c>
      <c r="C47" s="27" t="n">
        <v>44185</v>
      </c>
      <c r="D47" s="28" t="n">
        <v>45454</v>
      </c>
      <c r="E47" s="28" t="n">
        <v>910</v>
      </c>
      <c r="F47" s="28" t="n">
        <v>200461</v>
      </c>
      <c r="G47" s="29" t="n">
        <v>0.18</v>
      </c>
      <c r="H47" s="30" t="n">
        <v>1.03857142857143</v>
      </c>
      <c r="I47" s="28" t="n">
        <v>0</v>
      </c>
    </row>
    <row r="48" customFormat="false" ht="15" hidden="false" customHeight="false" outlineLevel="0" collapsed="false">
      <c r="B48" s="2" t="n">
        <v>43</v>
      </c>
      <c r="C48" s="27" t="n">
        <v>44192</v>
      </c>
      <c r="D48" s="28" t="n">
        <v>44863</v>
      </c>
      <c r="E48" s="28" t="n">
        <v>859</v>
      </c>
      <c r="F48" s="28" t="n">
        <v>220459</v>
      </c>
      <c r="G48" s="29" t="n">
        <v>0.182857142857143</v>
      </c>
      <c r="H48" s="30" t="n">
        <v>1.08142857142857</v>
      </c>
      <c r="I48" s="28" t="n">
        <v>0</v>
      </c>
    </row>
    <row r="49" customFormat="false" ht="15" hidden="false" customHeight="false" outlineLevel="0" collapsed="false">
      <c r="B49" s="2" t="n">
        <v>44</v>
      </c>
      <c r="C49" s="27" t="n">
        <v>44199</v>
      </c>
      <c r="D49" s="28" t="n">
        <v>60464</v>
      </c>
      <c r="E49" s="28" t="n">
        <v>1103</v>
      </c>
      <c r="F49" s="28" t="n">
        <v>234474</v>
      </c>
      <c r="G49" s="29" t="n">
        <v>0.214285714285714</v>
      </c>
      <c r="H49" s="30" t="n">
        <v>1.20571428571429</v>
      </c>
      <c r="I49" s="28" t="n">
        <v>11</v>
      </c>
    </row>
    <row r="50" customFormat="false" ht="15" hidden="false" customHeight="false" outlineLevel="0" collapsed="false">
      <c r="B50" s="2" t="n">
        <v>45</v>
      </c>
      <c r="C50" s="27" t="n">
        <v>44206</v>
      </c>
      <c r="D50" s="28" t="n">
        <v>84733</v>
      </c>
      <c r="E50" s="28" t="n">
        <v>1415</v>
      </c>
      <c r="F50" s="28" t="n">
        <v>293800</v>
      </c>
      <c r="G50" s="29" t="n">
        <v>0.22</v>
      </c>
      <c r="H50" s="30" t="n">
        <v>1.24857142857143</v>
      </c>
      <c r="I50" s="28" t="n">
        <v>30</v>
      </c>
    </row>
    <row r="51" customFormat="false" ht="15" hidden="false" customHeight="false" outlineLevel="0" collapsed="false">
      <c r="B51" s="2" t="n">
        <v>46</v>
      </c>
      <c r="C51" s="27" t="n">
        <v>44213</v>
      </c>
      <c r="D51" s="28" t="n">
        <v>77946</v>
      </c>
      <c r="E51" s="28" t="n">
        <v>1300</v>
      </c>
      <c r="F51" s="28" t="n">
        <v>340339</v>
      </c>
      <c r="G51" s="29" t="n">
        <v>0.205714285714286</v>
      </c>
      <c r="H51" s="30" t="n">
        <v>1.07</v>
      </c>
      <c r="I51" s="28" t="n">
        <v>58</v>
      </c>
    </row>
    <row r="52" customFormat="false" ht="15" hidden="false" customHeight="false" outlineLevel="0" collapsed="false">
      <c r="B52" s="2" t="n">
        <v>47</v>
      </c>
      <c r="C52" s="27" t="n">
        <v>44220</v>
      </c>
      <c r="D52" s="28" t="n">
        <v>79316</v>
      </c>
      <c r="E52" s="28" t="n">
        <v>1260</v>
      </c>
      <c r="F52" s="28" t="n">
        <v>346246</v>
      </c>
      <c r="G52" s="29" t="n">
        <v>0.177142857142857</v>
      </c>
      <c r="H52" s="30" t="n">
        <v>0.951428571428571</v>
      </c>
      <c r="I52" s="28" t="n">
        <v>35586</v>
      </c>
    </row>
    <row r="53" customFormat="false" ht="15" hidden="false" customHeight="false" outlineLevel="0" collapsed="false">
      <c r="B53" s="2" t="n">
        <v>48</v>
      </c>
      <c r="C53" s="27" t="n">
        <v>44227</v>
      </c>
      <c r="D53" s="28" t="n">
        <v>61185</v>
      </c>
      <c r="E53" s="28" t="n">
        <v>1131</v>
      </c>
      <c r="F53" s="28" t="n">
        <v>319217</v>
      </c>
      <c r="G53" s="29" t="n">
        <v>0.165714285714286</v>
      </c>
      <c r="H53" s="30" t="n">
        <v>0.902857142857143</v>
      </c>
      <c r="I53" s="28" t="n">
        <v>102576</v>
      </c>
    </row>
    <row r="54" customFormat="false" ht="15" hidden="false" customHeight="false" outlineLevel="0" collapsed="false">
      <c r="B54" s="2" t="n">
        <v>49</v>
      </c>
      <c r="C54" s="27" t="n">
        <v>44234</v>
      </c>
      <c r="D54" s="28" t="n">
        <v>51269</v>
      </c>
      <c r="E54" s="28" t="n">
        <v>948</v>
      </c>
      <c r="F54" s="28" t="n">
        <v>342523</v>
      </c>
      <c r="G54" s="29" t="n">
        <v>0.141428571428571</v>
      </c>
      <c r="H54" s="30" t="n">
        <v>0.878571428571429</v>
      </c>
      <c r="I54" s="28" t="n">
        <v>199920</v>
      </c>
    </row>
    <row r="55" customFormat="false" ht="15" hidden="false" customHeight="false" outlineLevel="0" collapsed="false">
      <c r="B55" s="2" t="n">
        <v>50</v>
      </c>
      <c r="C55" s="27" t="n">
        <v>44241</v>
      </c>
      <c r="D55" s="28" t="n">
        <v>50744</v>
      </c>
      <c r="E55" s="28" t="n">
        <v>935</v>
      </c>
      <c r="F55" s="28" t="n">
        <v>321380</v>
      </c>
      <c r="G55" s="29" t="n">
        <v>0.128571428571429</v>
      </c>
      <c r="H55" s="30" t="n">
        <v>0.852857142857143</v>
      </c>
      <c r="I55" s="28" t="n">
        <v>245004</v>
      </c>
    </row>
    <row r="56" customFormat="false" ht="15" hidden="false" customHeight="false" outlineLevel="0" collapsed="false">
      <c r="B56" s="2" t="n">
        <v>51</v>
      </c>
      <c r="C56" s="27" t="n">
        <v>44248</v>
      </c>
      <c r="D56" s="28" t="n">
        <v>42687</v>
      </c>
      <c r="E56" s="28" t="n">
        <v>797</v>
      </c>
      <c r="F56" s="28" t="n">
        <v>309442</v>
      </c>
      <c r="G56" s="29" t="n">
        <v>0.111428571428571</v>
      </c>
      <c r="H56" s="30" t="n">
        <v>0.925714285714286</v>
      </c>
      <c r="I56" s="28" t="n">
        <v>270953</v>
      </c>
    </row>
    <row r="57" customFormat="false" ht="15" hidden="false" customHeight="false" outlineLevel="0" collapsed="false">
      <c r="B57" s="2" t="n">
        <v>52</v>
      </c>
      <c r="C57" s="27" t="n">
        <v>44255</v>
      </c>
      <c r="D57" s="28" t="n">
        <v>44701</v>
      </c>
      <c r="E57" s="28" t="n">
        <v>831</v>
      </c>
      <c r="F57" s="28" t="n">
        <v>325325</v>
      </c>
      <c r="G57" s="29" t="n">
        <v>0.12</v>
      </c>
      <c r="H57" s="30" t="n">
        <v>0.988571428571428</v>
      </c>
      <c r="I57" s="28" t="n">
        <v>308057</v>
      </c>
    </row>
    <row r="58" customFormat="false" ht="15" hidden="false" customHeight="false" outlineLevel="0" collapsed="false">
      <c r="B58" s="2" t="n">
        <v>53</v>
      </c>
      <c r="C58" s="27" t="n">
        <v>44262</v>
      </c>
      <c r="D58" s="28" t="n">
        <v>43723</v>
      </c>
      <c r="E58" s="28" t="n">
        <v>884</v>
      </c>
      <c r="F58" s="28" t="n">
        <v>298861</v>
      </c>
      <c r="G58" s="29" t="n">
        <v>0.132857142857143</v>
      </c>
      <c r="H58" s="30" t="n">
        <v>1.00857142857143</v>
      </c>
      <c r="I58" s="28" t="n">
        <v>360107</v>
      </c>
    </row>
    <row r="59" customFormat="false" ht="15" hidden="false" customHeight="false" outlineLevel="0" collapsed="false">
      <c r="B59" s="2" t="n">
        <v>54</v>
      </c>
      <c r="C59" s="27" t="n">
        <v>44269</v>
      </c>
      <c r="D59" s="28" t="n">
        <v>50279</v>
      </c>
      <c r="E59" s="28" t="n">
        <v>977</v>
      </c>
      <c r="F59" s="28" t="n">
        <v>291808</v>
      </c>
      <c r="G59" s="29" t="n">
        <v>0.14</v>
      </c>
      <c r="H59" s="30" t="n">
        <v>1.06142857142857</v>
      </c>
      <c r="I59" s="28" t="n">
        <v>476324</v>
      </c>
    </row>
    <row r="60" customFormat="false" ht="15" hidden="false" customHeight="false" outlineLevel="0" collapsed="false">
      <c r="B60" s="2" t="n">
        <v>55</v>
      </c>
      <c r="C60" s="27" t="n">
        <v>44276</v>
      </c>
      <c r="D60" s="28" t="n">
        <v>51631</v>
      </c>
      <c r="E60" s="28" t="n">
        <v>994</v>
      </c>
      <c r="F60" s="28" t="n">
        <v>319246</v>
      </c>
      <c r="G60" s="29" t="n">
        <v>0.14</v>
      </c>
      <c r="H60" s="30" t="n">
        <v>1.09285714285714</v>
      </c>
      <c r="I60" s="28" t="n">
        <v>638941</v>
      </c>
    </row>
    <row r="61" customFormat="false" ht="15" hidden="false" customHeight="false" outlineLevel="0" collapsed="false">
      <c r="B61" s="2" t="n">
        <v>56</v>
      </c>
      <c r="C61" s="27" t="n">
        <v>44283</v>
      </c>
      <c r="D61" s="28" t="n">
        <v>71481</v>
      </c>
      <c r="E61" s="28" t="n">
        <v>1259</v>
      </c>
      <c r="F61" s="28" t="n">
        <v>331308</v>
      </c>
      <c r="G61" s="29" t="n">
        <v>0.164285714285714</v>
      </c>
      <c r="H61" s="30" t="n">
        <v>1.22142857142857</v>
      </c>
      <c r="I61" s="28" t="n">
        <v>694512</v>
      </c>
    </row>
    <row r="62" customFormat="false" ht="15" hidden="false" customHeight="false" outlineLevel="0" collapsed="false">
      <c r="B62" s="2" t="n">
        <v>57</v>
      </c>
      <c r="C62" s="27" t="n">
        <v>44290</v>
      </c>
      <c r="D62" s="28" t="n">
        <v>93977</v>
      </c>
      <c r="E62" s="28" t="n">
        <v>1654</v>
      </c>
      <c r="F62" s="28" t="n">
        <v>391409</v>
      </c>
      <c r="G62" s="29" t="n">
        <v>0.205714285714286</v>
      </c>
      <c r="H62" s="30" t="n">
        <v>1.29285714285714</v>
      </c>
      <c r="I62" s="28" t="n">
        <v>713245</v>
      </c>
    </row>
    <row r="63" customFormat="false" ht="15" hidden="false" customHeight="false" outlineLevel="0" collapsed="false">
      <c r="B63" s="2" t="n">
        <v>58</v>
      </c>
      <c r="C63" s="27" t="n">
        <v>44297</v>
      </c>
      <c r="D63" s="28" t="n">
        <v>153369</v>
      </c>
      <c r="E63" s="28" t="n">
        <v>2619</v>
      </c>
      <c r="F63" s="28" t="n">
        <v>511759</v>
      </c>
      <c r="G63" s="29" t="n">
        <v>0.241428571428571</v>
      </c>
      <c r="H63" s="30" t="n">
        <v>1.38428571428571</v>
      </c>
      <c r="I63" s="28" t="n">
        <v>761492</v>
      </c>
    </row>
    <row r="64" customFormat="false" ht="15" hidden="false" customHeight="false" outlineLevel="0" collapsed="false">
      <c r="B64" s="2" t="n">
        <v>59</v>
      </c>
      <c r="C64" s="27" t="n">
        <v>44304</v>
      </c>
      <c r="D64" s="28" t="n">
        <v>164523</v>
      </c>
      <c r="E64" s="28" t="n">
        <v>3293</v>
      </c>
      <c r="F64" s="28" t="n">
        <v>609688</v>
      </c>
      <c r="G64" s="29" t="n">
        <v>0.247142857142857</v>
      </c>
      <c r="H64" s="30" t="n">
        <v>1.22428571428571</v>
      </c>
      <c r="I64" s="28" t="n">
        <v>844518</v>
      </c>
    </row>
    <row r="65" customFormat="false" ht="15" hidden="false" customHeight="false" outlineLevel="0" collapsed="false">
      <c r="B65" s="2" t="n">
        <v>60</v>
      </c>
      <c r="C65" s="27" t="n">
        <v>44311</v>
      </c>
      <c r="D65" s="28" t="n">
        <v>165754</v>
      </c>
      <c r="E65" s="28" t="n">
        <v>3470</v>
      </c>
      <c r="F65" s="28" t="n">
        <v>613610</v>
      </c>
      <c r="G65" s="29" t="n">
        <v>0.251428571428571</v>
      </c>
      <c r="H65" s="30" t="n">
        <v>1.07571428571429</v>
      </c>
      <c r="I65" s="28" t="n">
        <v>917251</v>
      </c>
    </row>
    <row r="66" customFormat="false" ht="15" hidden="false" customHeight="false" outlineLevel="0" collapsed="false">
      <c r="B66" s="2" t="n">
        <v>61</v>
      </c>
      <c r="C66" s="27" t="n">
        <v>44318</v>
      </c>
      <c r="D66" s="28" t="n">
        <v>141493</v>
      </c>
      <c r="E66" s="28" t="n">
        <v>3115</v>
      </c>
      <c r="F66" s="28" t="n">
        <v>561350</v>
      </c>
      <c r="G66" s="29" t="n">
        <v>0.247142857142857</v>
      </c>
      <c r="H66" s="30" t="n">
        <v>0.967142857142857</v>
      </c>
      <c r="I66" s="28" t="n">
        <v>1036033</v>
      </c>
    </row>
    <row r="67" customFormat="false" ht="15" hidden="false" customHeight="false" outlineLevel="0" collapsed="false">
      <c r="B67" s="2" t="n">
        <v>62</v>
      </c>
      <c r="C67" s="27" t="n">
        <v>44325</v>
      </c>
      <c r="D67" s="28" t="n">
        <v>144708</v>
      </c>
      <c r="E67" s="28" t="n">
        <v>3189</v>
      </c>
      <c r="F67" s="28" t="n">
        <v>562420</v>
      </c>
      <c r="G67" s="29" t="n">
        <v>0.238571428571429</v>
      </c>
      <c r="H67" s="30" t="n">
        <v>0.988571428571428</v>
      </c>
      <c r="I67" s="28" t="n">
        <v>1494147</v>
      </c>
    </row>
    <row r="68" customFormat="false" ht="15" hidden="false" customHeight="false" outlineLevel="0" collapsed="false">
      <c r="B68" s="2" t="n">
        <v>63</v>
      </c>
      <c r="C68" s="27" t="n">
        <v>44332</v>
      </c>
      <c r="D68" s="28" t="n">
        <v>165989</v>
      </c>
      <c r="E68" s="28" t="n">
        <v>3641</v>
      </c>
      <c r="F68" s="28" t="n">
        <v>563533</v>
      </c>
      <c r="G68" s="29" t="n">
        <v>0.257142857142857</v>
      </c>
      <c r="H68" s="30" t="n">
        <v>1.10571428571429</v>
      </c>
      <c r="I68" s="28" t="n">
        <v>2172544</v>
      </c>
    </row>
    <row r="69" customFormat="false" ht="15" hidden="false" customHeight="false" outlineLevel="0" collapsed="false">
      <c r="B69" s="2" t="n">
        <v>64</v>
      </c>
      <c r="C69" s="27" t="n">
        <v>44339</v>
      </c>
      <c r="D69" s="28" t="n">
        <v>234660</v>
      </c>
      <c r="E69" s="28" t="n">
        <v>4516</v>
      </c>
      <c r="F69" s="28" t="n">
        <v>687050</v>
      </c>
      <c r="G69" s="29" t="n">
        <v>0.278571428571429</v>
      </c>
      <c r="H69" s="30" t="n">
        <v>1.19142857142857</v>
      </c>
      <c r="I69" s="28" t="n">
        <v>2544273</v>
      </c>
    </row>
    <row r="70" customFormat="false" ht="15" hidden="false" customHeight="false" outlineLevel="0" collapsed="false">
      <c r="B70" s="2" t="n">
        <v>65</v>
      </c>
      <c r="C70" s="27" t="n">
        <v>44346</v>
      </c>
      <c r="D70" s="28" t="n">
        <v>208332</v>
      </c>
      <c r="E70" s="28" t="n">
        <v>4339</v>
      </c>
      <c r="F70" s="28" t="n">
        <v>673611</v>
      </c>
      <c r="G70" s="29" t="n">
        <v>0.288571428571429</v>
      </c>
      <c r="H70" s="30" t="n">
        <v>1.07142857142857</v>
      </c>
      <c r="I70" s="28" t="n">
        <v>2936031</v>
      </c>
    </row>
    <row r="71" customFormat="false" ht="15" hidden="false" customHeight="false" outlineLevel="0" collapsed="false">
      <c r="B71" s="2" t="n">
        <v>66</v>
      </c>
      <c r="C71" s="27" t="n">
        <v>44353</v>
      </c>
      <c r="D71" s="28" t="n">
        <v>195205</v>
      </c>
      <c r="E71" s="28" t="n">
        <v>3978</v>
      </c>
      <c r="F71" s="28" t="n">
        <v>698015</v>
      </c>
      <c r="G71" s="29" t="n">
        <v>0.281428571428571</v>
      </c>
      <c r="H71" s="30" t="n">
        <v>0.962857142857143</v>
      </c>
      <c r="I71" s="28" t="n">
        <v>3214488</v>
      </c>
    </row>
    <row r="72" customFormat="false" ht="15" hidden="false" customHeight="false" outlineLevel="0" collapsed="false">
      <c r="B72" s="2" t="n">
        <v>67</v>
      </c>
      <c r="C72" s="27" t="n">
        <v>44360</v>
      </c>
      <c r="D72" s="28" t="n">
        <v>162769</v>
      </c>
      <c r="E72" s="28" t="n">
        <v>3317</v>
      </c>
      <c r="F72" s="28" t="n">
        <v>661261</v>
      </c>
      <c r="G72" s="29" t="n">
        <v>0.245714285714286</v>
      </c>
      <c r="H72" s="30" t="n">
        <v>0.887142857142857</v>
      </c>
      <c r="I72" s="28" t="n">
        <v>3508795</v>
      </c>
    </row>
    <row r="73" customFormat="false" ht="15" hidden="false" customHeight="false" outlineLevel="0" collapsed="false">
      <c r="B73" s="2" t="n">
        <v>68</v>
      </c>
      <c r="C73" s="27" t="n">
        <v>44367</v>
      </c>
      <c r="D73" s="28" t="n">
        <v>137636</v>
      </c>
      <c r="E73" s="28" t="n">
        <v>2694</v>
      </c>
      <c r="F73" s="28" t="n">
        <v>612894</v>
      </c>
      <c r="G73" s="29" t="n">
        <v>0.225714285714286</v>
      </c>
      <c r="H73" s="30" t="n">
        <v>0.854285714285714</v>
      </c>
      <c r="I73" s="28" t="n">
        <v>3885925</v>
      </c>
    </row>
    <row r="74" customFormat="false" ht="15" hidden="false" customHeight="false" outlineLevel="0" collapsed="false">
      <c r="B74" s="2" t="n">
        <v>69</v>
      </c>
      <c r="C74" s="27" t="n">
        <v>44374</v>
      </c>
      <c r="D74" s="28" t="n">
        <v>133147</v>
      </c>
      <c r="E74" s="28" t="n">
        <v>2532</v>
      </c>
      <c r="F74" s="28" t="n">
        <v>537526</v>
      </c>
      <c r="G74" s="29" t="n">
        <v>0.217142857142857</v>
      </c>
      <c r="H74" s="30" t="n">
        <v>0.937142857142857</v>
      </c>
      <c r="I74" s="28" t="n">
        <v>4180732</v>
      </c>
    </row>
    <row r="75" customFormat="false" ht="15" hidden="false" customHeight="false" outlineLevel="0" collapsed="false">
      <c r="B75" s="2" t="n">
        <v>70</v>
      </c>
      <c r="C75" s="27" t="n">
        <v>44381</v>
      </c>
      <c r="D75" s="28" t="n">
        <v>125444</v>
      </c>
      <c r="E75" s="28" t="n">
        <v>2169</v>
      </c>
      <c r="F75" s="28" t="n">
        <v>559465</v>
      </c>
      <c r="G75" s="29" t="n">
        <v>0.217142857142857</v>
      </c>
      <c r="H75" s="30" t="n">
        <v>0.931428571428571</v>
      </c>
      <c r="I75" s="28" t="n">
        <v>4624819</v>
      </c>
    </row>
    <row r="76" customFormat="false" ht="15" hidden="false" customHeight="false" outlineLevel="0" collapsed="false">
      <c r="B76" s="2" t="n">
        <v>71</v>
      </c>
      <c r="C76" s="27" t="n">
        <v>44388</v>
      </c>
      <c r="D76" s="28" t="n">
        <v>108881</v>
      </c>
      <c r="E76" s="28" t="n">
        <v>1889</v>
      </c>
      <c r="F76" s="28" t="n">
        <v>583476</v>
      </c>
      <c r="G76" s="29" t="n">
        <v>0.185714285714286</v>
      </c>
      <c r="H76" s="30" t="n">
        <v>0.894285714285714</v>
      </c>
      <c r="I76" s="28" t="n">
        <v>5238986</v>
      </c>
    </row>
    <row r="77" customFormat="false" ht="15" hidden="false" customHeight="false" outlineLevel="0" collapsed="false">
      <c r="B77" s="2" t="n">
        <v>72</v>
      </c>
      <c r="C77" s="27" t="n">
        <v>44395</v>
      </c>
      <c r="D77" s="28" t="n">
        <v>105110</v>
      </c>
      <c r="E77" s="28" t="n">
        <v>1782</v>
      </c>
      <c r="F77" s="28" t="n">
        <v>604164</v>
      </c>
      <c r="G77" s="29" t="n">
        <v>0.164285714285714</v>
      </c>
      <c r="H77" s="30" t="n">
        <v>0.911428571428571</v>
      </c>
      <c r="I77" s="28" t="n">
        <v>5617432</v>
      </c>
    </row>
    <row r="78" customFormat="false" ht="15" hidden="false" customHeight="false" outlineLevel="0" collapsed="false">
      <c r="B78" s="2" t="n">
        <v>73</v>
      </c>
      <c r="C78" s="27" t="n">
        <v>44402</v>
      </c>
      <c r="D78" s="28" t="n">
        <v>88348</v>
      </c>
      <c r="E78" s="28" t="n">
        <v>1367</v>
      </c>
      <c r="F78" s="28" t="n">
        <v>596486</v>
      </c>
      <c r="G78" s="29" t="n">
        <v>0.142857142857143</v>
      </c>
      <c r="H78" s="30" t="n">
        <v>0.897142857142857</v>
      </c>
      <c r="I78" s="28" t="n">
        <v>6224534</v>
      </c>
    </row>
    <row r="79" customFormat="false" ht="15" hidden="false" customHeight="false" outlineLevel="0" collapsed="false">
      <c r="B79" s="2" t="n">
        <v>74</v>
      </c>
      <c r="C79" s="27" t="n">
        <v>44409</v>
      </c>
      <c r="D79" s="28" t="n">
        <v>87225</v>
      </c>
      <c r="E79" s="28" t="n">
        <v>1205</v>
      </c>
      <c r="F79" s="28" t="n">
        <v>609833</v>
      </c>
      <c r="G79" s="29" t="n">
        <v>0.14</v>
      </c>
      <c r="H79" s="30" t="n">
        <v>0.93</v>
      </c>
      <c r="I79" s="28" t="n">
        <v>7466310</v>
      </c>
    </row>
    <row r="80" customFormat="false" ht="15" hidden="false" customHeight="false" outlineLevel="0" collapsed="false">
      <c r="B80" s="2" t="n">
        <v>75</v>
      </c>
      <c r="C80" s="27" t="n">
        <v>44416</v>
      </c>
      <c r="D80" s="28" t="n">
        <v>80437</v>
      </c>
      <c r="E80" s="28" t="n">
        <v>1157</v>
      </c>
      <c r="F80" s="28" t="n">
        <v>641188</v>
      </c>
      <c r="G80" s="29" t="n">
        <v>0.125714285714286</v>
      </c>
      <c r="H80" s="30" t="n">
        <v>0.915714285714286</v>
      </c>
      <c r="I80" s="28" t="n">
        <v>8958603</v>
      </c>
    </row>
    <row r="81" customFormat="false" ht="15" hidden="false" customHeight="false" outlineLevel="0" collapsed="false">
      <c r="B81" s="2" t="n">
        <v>76</v>
      </c>
      <c r="C81" s="27" t="n">
        <v>44423</v>
      </c>
      <c r="D81" s="28" t="n">
        <v>62306</v>
      </c>
      <c r="E81" s="28" t="n">
        <v>893</v>
      </c>
      <c r="F81" s="28" t="n">
        <v>626961</v>
      </c>
      <c r="G81" s="29" t="n">
        <v>0.104285714285714</v>
      </c>
      <c r="H81" s="30" t="n">
        <v>0.821428571428571</v>
      </c>
      <c r="I81" s="28" t="n">
        <v>10109619</v>
      </c>
    </row>
    <row r="82" customFormat="false" ht="15" hidden="false" customHeight="false" outlineLevel="0" collapsed="false">
      <c r="B82" s="2" t="n">
        <v>77</v>
      </c>
      <c r="C82" s="27" t="n">
        <v>44430</v>
      </c>
      <c r="D82" s="28" t="n">
        <v>47254</v>
      </c>
      <c r="E82" s="28" t="n">
        <v>684</v>
      </c>
      <c r="F82" s="28" t="n">
        <v>572005</v>
      </c>
      <c r="G82" s="29" t="n">
        <v>0.08</v>
      </c>
      <c r="H82" s="30" t="n">
        <v>0.801428571428572</v>
      </c>
      <c r="I82" s="28" t="n">
        <v>11341679</v>
      </c>
    </row>
    <row r="83" customFormat="false" ht="15" hidden="false" customHeight="false" outlineLevel="0" collapsed="false">
      <c r="B83" s="2" t="n">
        <v>78</v>
      </c>
      <c r="C83" s="27" t="n">
        <v>44437</v>
      </c>
      <c r="D83" s="28" t="n">
        <v>38265</v>
      </c>
      <c r="E83" s="28" t="n">
        <v>537</v>
      </c>
      <c r="F83" s="28" t="n">
        <v>619956</v>
      </c>
      <c r="G83" s="29" t="n">
        <v>0.0585714285714285</v>
      </c>
      <c r="H83" s="30" t="n">
        <v>0.778571428571429</v>
      </c>
      <c r="I83" s="28" t="n">
        <v>13209709</v>
      </c>
    </row>
    <row r="84" customFormat="false" ht="15" hidden="false" customHeight="false" outlineLevel="0" collapsed="false">
      <c r="B84" s="2" t="n">
        <v>79</v>
      </c>
      <c r="C84" s="27" t="n">
        <v>44444</v>
      </c>
      <c r="D84" s="28" t="n">
        <v>28531</v>
      </c>
      <c r="E84" s="28" t="n">
        <v>418</v>
      </c>
      <c r="F84" s="28" t="n">
        <v>567420</v>
      </c>
      <c r="G84" s="29" t="n">
        <v>0.05</v>
      </c>
      <c r="H84" s="30" t="n">
        <v>0.734285714285714</v>
      </c>
      <c r="I84" s="28" t="n">
        <v>15131730</v>
      </c>
    </row>
    <row r="85" customFormat="false" ht="15" hidden="false" customHeight="false" outlineLevel="0" collapsed="false">
      <c r="B85" s="2" t="n">
        <v>80</v>
      </c>
      <c r="C85" s="27" t="n">
        <v>44451</v>
      </c>
      <c r="D85" s="28" t="n">
        <v>19860</v>
      </c>
      <c r="E85" s="28" t="n">
        <v>290</v>
      </c>
      <c r="F85" s="28" t="n">
        <v>460033</v>
      </c>
      <c r="G85" s="29" t="n">
        <v>0.0385714285714285</v>
      </c>
      <c r="H85" s="30" t="n">
        <v>0.685714285714286</v>
      </c>
      <c r="I85" s="28" t="n">
        <v>16869622</v>
      </c>
    </row>
    <row r="86" customFormat="false" ht="15" hidden="false" customHeight="false" outlineLevel="0" collapsed="false">
      <c r="B86" s="2" t="n">
        <v>81</v>
      </c>
      <c r="C86" s="27" t="n">
        <v>44458</v>
      </c>
      <c r="D86" s="28" t="n">
        <v>14221</v>
      </c>
      <c r="E86" s="28" t="n">
        <v>218</v>
      </c>
      <c r="F86" s="28" t="n">
        <v>375797</v>
      </c>
      <c r="G86" s="29" t="n">
        <v>0.03</v>
      </c>
      <c r="H86" s="30" t="n">
        <v>0.69</v>
      </c>
      <c r="I86" s="28" t="n">
        <v>18466573</v>
      </c>
    </row>
    <row r="87" customFormat="false" ht="15" hidden="false" customHeight="false" outlineLevel="0" collapsed="false">
      <c r="B87" s="2" t="n">
        <v>82</v>
      </c>
      <c r="C87" s="27" t="n">
        <v>44465</v>
      </c>
      <c r="D87" s="28" t="n">
        <v>10997</v>
      </c>
      <c r="E87" s="28" t="n">
        <v>127</v>
      </c>
      <c r="F87" s="28" t="n">
        <v>350614</v>
      </c>
      <c r="G87" s="29" t="n">
        <v>0.0228571428571428</v>
      </c>
      <c r="H87" s="30" t="n">
        <v>0.715714285714286</v>
      </c>
      <c r="I87" s="28" t="n">
        <v>19743667</v>
      </c>
    </row>
    <row r="88" customFormat="false" ht="15" hidden="false" customHeight="false" outlineLevel="0" collapsed="false">
      <c r="B88" s="2" t="n">
        <v>83</v>
      </c>
      <c r="C88" s="27" t="n">
        <v>44472</v>
      </c>
      <c r="D88" s="28" t="n">
        <v>9250</v>
      </c>
      <c r="E88" s="28" t="n">
        <v>87</v>
      </c>
      <c r="F88" s="28" t="n">
        <v>327912</v>
      </c>
      <c r="G88" s="29" t="n">
        <v>0.02</v>
      </c>
      <c r="H88" s="30" t="n">
        <v>0.747142857142857</v>
      </c>
      <c r="I88" s="28" t="n">
        <v>21125013</v>
      </c>
    </row>
    <row r="89" customFormat="false" ht="15" hidden="false" customHeight="false" outlineLevel="0" collapsed="false">
      <c r="B89" s="2" t="n">
        <v>84</v>
      </c>
      <c r="C89" s="27" t="n">
        <v>44479</v>
      </c>
      <c r="D89" s="28" t="n">
        <v>6633</v>
      </c>
      <c r="E89" s="28" t="n">
        <v>84</v>
      </c>
      <c r="F89" s="28" t="n">
        <v>292990</v>
      </c>
      <c r="G89" s="29" t="n">
        <v>0.02</v>
      </c>
      <c r="H89" s="30" t="n">
        <v>0.725714285714286</v>
      </c>
      <c r="I89" s="28" t="n">
        <v>22041370</v>
      </c>
    </row>
    <row r="90" customFormat="false" ht="15" hidden="false" customHeight="false" outlineLevel="0" collapsed="false">
      <c r="B90" s="2" t="n">
        <v>85</v>
      </c>
      <c r="C90" s="27" t="n">
        <v>44486</v>
      </c>
      <c r="D90" s="28" t="n">
        <v>7214</v>
      </c>
      <c r="E90" s="28" t="n">
        <v>86</v>
      </c>
      <c r="F90" s="28" t="n">
        <v>264293</v>
      </c>
      <c r="G90" s="29" t="n">
        <v>0.02</v>
      </c>
      <c r="H90" s="30" t="n">
        <v>0.948571428571428</v>
      </c>
      <c r="I90" s="28" t="n">
        <v>22802817</v>
      </c>
    </row>
    <row r="91" customFormat="false" ht="15" hidden="false" customHeight="false" outlineLevel="0" collapsed="false">
      <c r="B91" s="2" t="n">
        <v>86</v>
      </c>
      <c r="C91" s="27" t="n">
        <v>44493</v>
      </c>
      <c r="D91" s="28" t="n">
        <v>8597</v>
      </c>
      <c r="E91" s="28" t="n">
        <v>70</v>
      </c>
      <c r="F91" s="28" t="n">
        <v>303888</v>
      </c>
      <c r="G91" s="29" t="n">
        <v>0.02</v>
      </c>
      <c r="H91" s="30" t="n">
        <v>1.07142857142857</v>
      </c>
      <c r="I91" s="28" t="n">
        <v>23395819</v>
      </c>
    </row>
    <row r="92" customFormat="false" ht="15" hidden="false" customHeight="false" outlineLevel="0" collapsed="false">
      <c r="B92" s="2" t="n">
        <v>87</v>
      </c>
      <c r="C92" s="27" t="n">
        <v>44500</v>
      </c>
      <c r="D92" s="28" t="n">
        <v>9024</v>
      </c>
      <c r="E92" s="28" t="n">
        <v>62</v>
      </c>
      <c r="F92" s="28" t="n">
        <v>300597</v>
      </c>
      <c r="G92" s="29" t="n">
        <v>0.0271428571428571</v>
      </c>
      <c r="H92" s="30" t="n">
        <v>1.05571428571429</v>
      </c>
      <c r="I92" s="28" t="n">
        <v>23979858</v>
      </c>
    </row>
    <row r="93" customFormat="false" ht="15" hidden="false" customHeight="false" outlineLevel="0" collapsed="false">
      <c r="B93" s="2" t="n">
        <v>88</v>
      </c>
      <c r="C93" s="27" t="n">
        <v>44507</v>
      </c>
      <c r="D93" s="28" t="n">
        <v>8642</v>
      </c>
      <c r="E93" s="28" t="n">
        <v>64</v>
      </c>
      <c r="F93" s="28" t="n">
        <v>276905</v>
      </c>
      <c r="G93" s="29" t="n">
        <v>0.03</v>
      </c>
      <c r="H93" s="30" t="n">
        <v>1.02</v>
      </c>
      <c r="I93" s="28" t="n">
        <v>24741607</v>
      </c>
    </row>
    <row r="94" customFormat="false" ht="15" hidden="false" customHeight="false" outlineLevel="0" collapsed="false">
      <c r="B94" s="2" t="n">
        <v>89</v>
      </c>
      <c r="C94" s="27" t="n">
        <v>44514</v>
      </c>
      <c r="D94" s="28" t="n">
        <v>9415</v>
      </c>
      <c r="E94" s="28" t="n">
        <v>82</v>
      </c>
      <c r="F94" s="28" t="n">
        <v>266939</v>
      </c>
      <c r="G94" s="29" t="n">
        <v>0.0342857142857142</v>
      </c>
      <c r="H94" s="30" t="n">
        <v>1.07428571428572</v>
      </c>
      <c r="I94" s="28" t="n">
        <v>25403085</v>
      </c>
    </row>
    <row r="95" customFormat="false" ht="15" hidden="false" customHeight="false" outlineLevel="0" collapsed="false">
      <c r="B95" s="2" t="n">
        <v>90</v>
      </c>
      <c r="C95" s="27" t="n">
        <v>44521</v>
      </c>
      <c r="D95" s="28" t="n">
        <v>10247</v>
      </c>
      <c r="E95" s="28" t="n">
        <v>99</v>
      </c>
      <c r="F95" s="28" t="n">
        <v>266748</v>
      </c>
      <c r="G95" s="29" t="n">
        <v>0.04</v>
      </c>
      <c r="H95" s="30" t="n">
        <v>1.07142857142857</v>
      </c>
      <c r="I95" s="28" t="n">
        <v>26626483</v>
      </c>
    </row>
    <row r="96" customFormat="false" ht="15" hidden="false" customHeight="false" outlineLevel="0" collapsed="false">
      <c r="B96" s="2" t="n">
        <v>91</v>
      </c>
      <c r="C96" s="27" t="n">
        <v>44528</v>
      </c>
      <c r="D96" s="28" t="n">
        <v>11855</v>
      </c>
      <c r="E96" s="28" t="n">
        <v>114</v>
      </c>
      <c r="F96" s="28" t="n">
        <v>235923</v>
      </c>
      <c r="G96" s="29" t="n">
        <v>0.0457142857142857</v>
      </c>
      <c r="H96" s="30" t="n">
        <v>1.17714285714286</v>
      </c>
      <c r="I96" s="28" t="n">
        <v>27507748</v>
      </c>
    </row>
    <row r="97" customFormat="false" ht="15" hidden="false" customHeight="false" outlineLevel="0" collapsed="false">
      <c r="B97" s="2" t="n">
        <v>92</v>
      </c>
      <c r="C97" s="27" t="n">
        <v>44535</v>
      </c>
      <c r="D97" s="28" t="n">
        <v>15763</v>
      </c>
      <c r="E97" s="28" t="n">
        <v>117</v>
      </c>
      <c r="F97" s="28" t="n">
        <v>264110</v>
      </c>
      <c r="G97" s="29" t="n">
        <v>0.0542857142857142</v>
      </c>
      <c r="H97" s="30" t="n">
        <v>1.21857142857143</v>
      </c>
      <c r="I97" s="28" t="n">
        <v>28405672</v>
      </c>
    </row>
    <row r="98" customFormat="false" ht="15" hidden="false" customHeight="false" outlineLevel="0" collapsed="false">
      <c r="B98" s="2" t="n">
        <v>93</v>
      </c>
      <c r="C98" s="27" t="n">
        <v>44542</v>
      </c>
      <c r="D98" s="28" t="n">
        <v>20177</v>
      </c>
      <c r="E98" s="28" t="n">
        <v>135</v>
      </c>
      <c r="F98" s="28" t="n">
        <v>273518</v>
      </c>
      <c r="G98" s="29" t="n">
        <v>0.0642857142857143</v>
      </c>
      <c r="H98" s="30" t="n">
        <v>1.3</v>
      </c>
      <c r="I98" s="28" t="n">
        <v>29140443</v>
      </c>
    </row>
    <row r="99" customFormat="false" ht="15" hidden="false" customHeight="false" outlineLevel="0" collapsed="false">
      <c r="B99" s="2" t="n">
        <v>94</v>
      </c>
      <c r="C99" s="27" t="n">
        <v>44549</v>
      </c>
      <c r="D99" s="28" t="n">
        <v>37801</v>
      </c>
      <c r="E99" s="28" t="n">
        <v>163</v>
      </c>
      <c r="F99" s="28" t="n">
        <v>332022</v>
      </c>
      <c r="G99" s="29" t="n">
        <v>0.0871428571428571</v>
      </c>
      <c r="H99" s="30" t="n">
        <v>1.55142857142857</v>
      </c>
      <c r="I99" s="28" t="n">
        <v>29823849</v>
      </c>
    </row>
    <row r="100" customFormat="false" ht="15" hidden="false" customHeight="false" outlineLevel="0" collapsed="false">
      <c r="B100" s="2" t="n">
        <v>95</v>
      </c>
      <c r="C100" s="27" t="n">
        <v>44556</v>
      </c>
      <c r="D100" s="28" t="n">
        <v>86790</v>
      </c>
      <c r="E100" s="28" t="n">
        <v>233</v>
      </c>
      <c r="F100" s="28" t="n">
        <v>448779</v>
      </c>
      <c r="G100" s="29" t="n">
        <v>0.152857142857143</v>
      </c>
      <c r="H100" s="30" t="n">
        <v>1.92428571428571</v>
      </c>
      <c r="I100" s="28" t="n">
        <v>30277678</v>
      </c>
    </row>
    <row r="101" customFormat="false" ht="15" hidden="false" customHeight="false" outlineLevel="0" collapsed="false">
      <c r="B101" s="2" t="n">
        <v>96</v>
      </c>
      <c r="C101" s="27" t="n">
        <v>44563</v>
      </c>
      <c r="D101" s="28" t="n">
        <v>262012</v>
      </c>
      <c r="E101" s="28" t="n">
        <v>421</v>
      </c>
      <c r="F101" s="28" t="n">
        <v>774149</v>
      </c>
      <c r="G101" s="29" t="n">
        <v>0.294285714285714</v>
      </c>
      <c r="H101" s="30" t="n">
        <v>2.14571428571429</v>
      </c>
      <c r="I101" s="28" t="n">
        <v>30801553</v>
      </c>
    </row>
    <row r="102" customFormat="false" ht="15" hidden="false" customHeight="false" outlineLevel="0" collapsed="false">
      <c r="B102" s="2" t="n">
        <v>97</v>
      </c>
      <c r="C102" s="27" t="n">
        <v>44570</v>
      </c>
      <c r="D102" s="28" t="n">
        <v>647721</v>
      </c>
      <c r="E102" s="28" t="n">
        <v>1003</v>
      </c>
      <c r="F102" s="28" t="n">
        <v>1236045</v>
      </c>
      <c r="G102" s="29" t="n">
        <v>0.48</v>
      </c>
      <c r="H102" s="30" t="n">
        <v>1.93142857142857</v>
      </c>
      <c r="I102" s="28" t="n">
        <v>31462941</v>
      </c>
    </row>
    <row r="103" customFormat="false" ht="15" hidden="false" customHeight="false" outlineLevel="0" collapsed="false">
      <c r="B103" s="2" t="n">
        <v>98</v>
      </c>
      <c r="C103" s="27" t="n">
        <v>44577</v>
      </c>
      <c r="D103" s="28" t="n">
        <v>770687</v>
      </c>
      <c r="E103" s="28" t="n">
        <v>1808</v>
      </c>
      <c r="F103" s="28" t="n">
        <v>1463563</v>
      </c>
      <c r="G103" s="29" t="n">
        <v>0.592857142857143</v>
      </c>
      <c r="H103" s="30" t="n">
        <v>1.40714285714286</v>
      </c>
      <c r="I103" s="28" t="n">
        <v>31926000</v>
      </c>
    </row>
    <row r="104" customFormat="false" ht="15" hidden="false" customHeight="false" outlineLevel="0" collapsed="false">
      <c r="B104" s="2" t="n">
        <v>99</v>
      </c>
      <c r="C104" s="27" t="n">
        <v>44584</v>
      </c>
      <c r="D104" s="28" t="n">
        <v>727782</v>
      </c>
      <c r="E104" s="28" t="n">
        <v>2464</v>
      </c>
      <c r="F104" s="28" t="n">
        <v>1148460</v>
      </c>
      <c r="G104" s="29" t="n">
        <v>0.651428571428572</v>
      </c>
      <c r="H104" s="30" t="n">
        <v>1.05428571428571</v>
      </c>
      <c r="I104" s="28" t="n">
        <v>32286729</v>
      </c>
    </row>
    <row r="105" customFormat="false" ht="15" hidden="false" customHeight="false" outlineLevel="0" collapsed="false">
      <c r="B105" s="2" t="n">
        <v>100</v>
      </c>
      <c r="C105" s="27" t="n">
        <v>44591</v>
      </c>
      <c r="D105" s="28" t="n">
        <v>432304</v>
      </c>
      <c r="E105" s="28" t="n">
        <v>1988</v>
      </c>
      <c r="F105" s="28" t="n">
        <v>820210</v>
      </c>
      <c r="G105" s="29" t="n">
        <v>0.552857142857143</v>
      </c>
      <c r="H105" s="30" t="n">
        <v>0.744285714285714</v>
      </c>
      <c r="I105" s="28" t="n">
        <v>32637340</v>
      </c>
    </row>
    <row r="106" customFormat="false" ht="15" hidden="false" customHeight="false" outlineLevel="0" collapsed="false">
      <c r="B106" s="2" t="n">
        <v>101</v>
      </c>
      <c r="C106" s="27" t="n">
        <v>44598</v>
      </c>
      <c r="D106" s="28" t="n">
        <v>226829</v>
      </c>
      <c r="E106" s="28" t="n">
        <v>1212</v>
      </c>
      <c r="F106" s="28" t="n">
        <v>503652</v>
      </c>
      <c r="G106" s="29" t="n">
        <v>0.404285714285714</v>
      </c>
      <c r="H106" s="30" t="n">
        <v>0.578571428571429</v>
      </c>
      <c r="I106" s="28" t="n">
        <v>32936880</v>
      </c>
    </row>
    <row r="107" customFormat="false" ht="15" hidden="false" customHeight="false" outlineLevel="0" collapsed="false">
      <c r="B107" s="2" t="n">
        <v>102</v>
      </c>
      <c r="C107" s="27" t="n">
        <v>44605</v>
      </c>
      <c r="D107" s="28" t="n">
        <v>124665</v>
      </c>
      <c r="E107" s="28" t="n">
        <v>628</v>
      </c>
      <c r="F107" s="28" t="n">
        <v>331358</v>
      </c>
      <c r="G107" s="29" t="n">
        <v>0.278571428571429</v>
      </c>
      <c r="H107" s="30" t="n">
        <v>0.521428571428572</v>
      </c>
      <c r="I107" s="28" t="n">
        <v>33236151</v>
      </c>
    </row>
    <row r="108" customFormat="false" ht="15" hidden="false" customHeight="false" outlineLevel="0" collapsed="false">
      <c r="B108" s="2" t="n">
        <v>103</v>
      </c>
      <c r="C108" s="27" t="n">
        <v>44612</v>
      </c>
      <c r="D108" s="28" t="n">
        <v>83236</v>
      </c>
      <c r="E108" s="28" t="n">
        <v>454</v>
      </c>
      <c r="F108" s="28" t="n">
        <v>290827</v>
      </c>
      <c r="G108" s="29" t="n">
        <v>0.175714285714286</v>
      </c>
      <c r="H108" s="30" t="n">
        <v>0.56</v>
      </c>
      <c r="I108" s="28" t="n">
        <v>33500471</v>
      </c>
    </row>
    <row r="109" customFormat="false" ht="15" hidden="false" customHeight="false" outlineLevel="0" collapsed="false">
      <c r="B109" s="2" t="n">
        <v>104</v>
      </c>
      <c r="C109" s="27" t="n">
        <v>44619</v>
      </c>
      <c r="D109" s="28" t="n">
        <v>64211</v>
      </c>
      <c r="E109" s="28" t="n">
        <v>223</v>
      </c>
      <c r="F109" s="28" t="n">
        <v>270564</v>
      </c>
      <c r="G109" s="29" t="n">
        <v>0.114285714285714</v>
      </c>
      <c r="H109" s="30" t="n">
        <v>0.582857142857143</v>
      </c>
      <c r="I109" s="28" t="n">
        <v>33755238</v>
      </c>
    </row>
    <row r="110" customFormat="false" ht="15" hidden="false" customHeight="false" outlineLevel="0" collapsed="false">
      <c r="B110" s="2" t="n">
        <v>105</v>
      </c>
      <c r="C110" s="27" t="n">
        <v>44626</v>
      </c>
      <c r="D110" s="28" t="n">
        <v>36613</v>
      </c>
      <c r="E110" s="28" t="n">
        <v>113</v>
      </c>
      <c r="F110" s="28" t="n">
        <v>218025</v>
      </c>
      <c r="G110" s="29" t="n">
        <v>0.0771428571428571</v>
      </c>
      <c r="H110" s="30" t="n">
        <v>0.625714285714286</v>
      </c>
      <c r="I110" s="28" t="n">
        <v>33870995</v>
      </c>
    </row>
    <row r="111" customFormat="false" ht="15" hidden="false" customHeight="false" outlineLevel="0" collapsed="false">
      <c r="B111" s="2" t="n">
        <v>106</v>
      </c>
      <c r="C111" s="27" t="n">
        <v>44633</v>
      </c>
      <c r="D111" s="28" t="n">
        <v>31940</v>
      </c>
      <c r="E111" s="28" t="n">
        <v>71</v>
      </c>
      <c r="F111" s="28" t="n">
        <v>249788</v>
      </c>
      <c r="G111" s="29" t="n">
        <v>0.0542857142857142</v>
      </c>
      <c r="H111" s="30" t="n">
        <v>0.72</v>
      </c>
      <c r="I111" s="28" t="n">
        <v>33981739</v>
      </c>
    </row>
    <row r="112" customFormat="false" ht="15" hidden="false" customHeight="false" outlineLevel="0" collapsed="false">
      <c r="B112" s="2" t="n">
        <v>107</v>
      </c>
      <c r="C112" s="27" t="n">
        <v>44640</v>
      </c>
      <c r="D112" s="28" t="n">
        <v>34029</v>
      </c>
      <c r="E112" s="28" t="n">
        <v>51</v>
      </c>
      <c r="F112" s="28" t="n">
        <v>230764</v>
      </c>
      <c r="G112" s="29" t="n">
        <v>0.0428571428571428</v>
      </c>
      <c r="H112" s="30" t="n">
        <v>0.854285714285714</v>
      </c>
      <c r="I112" s="28" t="n">
        <v>34088184</v>
      </c>
    </row>
    <row r="113" customFormat="false" ht="15" hidden="false" customHeight="false" outlineLevel="0" collapsed="false">
      <c r="B113" s="2" t="n">
        <v>108</v>
      </c>
      <c r="C113" s="27" t="n">
        <v>44647</v>
      </c>
      <c r="D113" s="28" t="n">
        <v>15927</v>
      </c>
      <c r="E113" s="28" t="n">
        <v>33</v>
      </c>
      <c r="F113" s="28" t="n">
        <v>182756</v>
      </c>
      <c r="G113" s="29" t="n">
        <v>0.04</v>
      </c>
      <c r="H113" s="30" t="n">
        <v>0.662857142857143</v>
      </c>
      <c r="I113" s="28" t="n">
        <v>34158599</v>
      </c>
    </row>
    <row r="114" customFormat="false" ht="15" hidden="false" customHeight="false" outlineLevel="0" collapsed="false">
      <c r="B114" s="2" t="n">
        <v>109</v>
      </c>
      <c r="C114" s="27" t="n">
        <v>44654</v>
      </c>
      <c r="D114" s="28" t="n">
        <v>12994</v>
      </c>
      <c r="E114" s="28" t="n">
        <v>31</v>
      </c>
      <c r="F114" s="28" t="n">
        <v>153794</v>
      </c>
      <c r="G114" s="29" t="n">
        <v>0.04</v>
      </c>
      <c r="H114" s="30" t="n">
        <v>0.677142857142857</v>
      </c>
      <c r="I114" s="28" t="n">
        <v>34228654</v>
      </c>
    </row>
    <row r="115" customFormat="false" ht="15" hidden="false" customHeight="false" outlineLevel="0" collapsed="false">
      <c r="B115" s="2" t="n">
        <v>110</v>
      </c>
      <c r="C115" s="27" t="n">
        <v>44661</v>
      </c>
      <c r="D115" s="28" t="n">
        <v>9837</v>
      </c>
      <c r="E115" s="28" t="n">
        <v>11</v>
      </c>
      <c r="F115" s="28" t="n">
        <v>129302</v>
      </c>
      <c r="G115" s="29" t="n">
        <v>0.04</v>
      </c>
      <c r="H115" s="30" t="n">
        <v>0.7</v>
      </c>
      <c r="I115" s="28" t="n">
        <v>34287880</v>
      </c>
    </row>
    <row r="116" customFormat="false" ht="15" hidden="false" customHeight="false" outlineLevel="0" collapsed="false">
      <c r="B116" s="2" t="n">
        <v>111</v>
      </c>
      <c r="C116" s="27" t="n">
        <v>44668</v>
      </c>
      <c r="D116" s="28" t="n">
        <v>6695</v>
      </c>
      <c r="E116" s="28" t="n">
        <v>3</v>
      </c>
      <c r="F116" s="28" t="n">
        <v>98023</v>
      </c>
      <c r="G116" s="29" t="n">
        <v>0.0528571428571428</v>
      </c>
      <c r="H116" s="30" t="n">
        <v>0.535714285714286</v>
      </c>
      <c r="I116" s="28" t="n">
        <v>34322287</v>
      </c>
    </row>
    <row r="117" customFormat="false" ht="15" hidden="false" customHeight="false" outlineLevel="0" collapsed="false">
      <c r="B117" s="2" t="n">
        <v>112</v>
      </c>
      <c r="C117" s="27" t="n">
        <v>44675</v>
      </c>
      <c r="D117" s="28" t="n">
        <v>24832</v>
      </c>
      <c r="E117" s="28" t="n">
        <v>198</v>
      </c>
      <c r="F117" s="28" t="n">
        <v>80236</v>
      </c>
      <c r="G117" s="29" t="n">
        <v>0.0671428571428571</v>
      </c>
      <c r="H117" s="30" t="n">
        <v>0.107142857142857</v>
      </c>
      <c r="I117" s="28" t="n">
        <v>34373623</v>
      </c>
    </row>
    <row r="118" customFormat="false" ht="15" hidden="false" customHeight="false" outlineLevel="0" collapsed="false">
      <c r="B118" s="2" t="n">
        <v>113</v>
      </c>
      <c r="C118" s="27" t="n">
        <v>44682</v>
      </c>
      <c r="D118" s="28" t="n">
        <v>11443</v>
      </c>
      <c r="E118" s="28" t="n">
        <v>111</v>
      </c>
      <c r="F118" s="28" t="n">
        <v>78308</v>
      </c>
      <c r="G118" s="29" t="n">
        <v>0.0885714285714285</v>
      </c>
      <c r="H118" s="30" t="n">
        <v>0.0485714285714285</v>
      </c>
      <c r="I118" s="28" t="n">
        <v>34419756</v>
      </c>
    </row>
    <row r="119" customFormat="false" ht="15" hidden="false" customHeight="false" outlineLevel="0" collapsed="false">
      <c r="B119" s="2" t="n">
        <v>114</v>
      </c>
      <c r="C119" s="27" t="n">
        <v>44689</v>
      </c>
      <c r="D119" s="28" t="n">
        <v>17646</v>
      </c>
      <c r="E119" s="28" t="n">
        <v>76</v>
      </c>
      <c r="F119" s="28" t="n">
        <v>79660</v>
      </c>
      <c r="G119" s="29" t="n">
        <v>0.154285714285714</v>
      </c>
      <c r="H119" s="30" t="n">
        <v>0.0842857142857143</v>
      </c>
      <c r="I119" s="28" t="n">
        <v>34477959</v>
      </c>
    </row>
    <row r="120" customFormat="false" ht="15" hidden="false" customHeight="false" outlineLevel="0" collapsed="false">
      <c r="B120" s="2" t="n">
        <v>115</v>
      </c>
      <c r="C120" s="27" t="n">
        <v>44696</v>
      </c>
      <c r="D120" s="28" t="n">
        <v>33989</v>
      </c>
      <c r="E120" s="28" t="n">
        <v>47</v>
      </c>
      <c r="F120" s="28" t="n">
        <v>110355</v>
      </c>
      <c r="G120" s="29" t="n">
        <v>0.242857142857143</v>
      </c>
      <c r="H120" s="30" t="n">
        <v>0.125714285714286</v>
      </c>
      <c r="I120" s="28" t="n">
        <v>34520655</v>
      </c>
    </row>
    <row r="121" customFormat="false" ht="15" hidden="false" customHeight="false" outlineLevel="0" collapsed="false">
      <c r="B121" s="2" t="n">
        <v>116</v>
      </c>
      <c r="C121" s="27" t="n">
        <v>44703</v>
      </c>
      <c r="D121" s="28" t="n">
        <v>43487</v>
      </c>
      <c r="E121" s="28" t="n">
        <v>49</v>
      </c>
      <c r="F121" s="28" t="n">
        <v>125174</v>
      </c>
      <c r="G121" s="29" t="n">
        <v>0.285714285714286</v>
      </c>
      <c r="H121" s="30" t="n">
        <v>0.171428571428571</v>
      </c>
      <c r="I121" s="28" t="n">
        <v>34547848</v>
      </c>
    </row>
    <row r="122" customFormat="false" ht="15" hidden="false" customHeight="false" outlineLevel="0" collapsed="false">
      <c r="B122" s="2" t="n">
        <v>117</v>
      </c>
      <c r="C122" s="27" t="n">
        <v>44710</v>
      </c>
      <c r="D122" s="28" t="n">
        <v>51778</v>
      </c>
      <c r="E122" s="28" t="n">
        <v>64</v>
      </c>
      <c r="F122" s="28" t="n">
        <v>143568</v>
      </c>
      <c r="G122" s="29" t="n">
        <v>0.3</v>
      </c>
      <c r="H122" s="30" t="n">
        <v>0.214285714285714</v>
      </c>
      <c r="I122" s="28" t="n">
        <v>34572508</v>
      </c>
    </row>
    <row r="123" customFormat="false" ht="15" hidden="false" customHeight="false" outlineLevel="0" collapsed="false">
      <c r="B123" s="2" t="n">
        <v>118</v>
      </c>
      <c r="C123" s="27" t="n">
        <v>44717</v>
      </c>
      <c r="D123" s="28" t="n">
        <v>0</v>
      </c>
      <c r="E123" s="28" t="n">
        <v>0</v>
      </c>
      <c r="F123" s="28" t="n">
        <v>259775.833333333</v>
      </c>
      <c r="G123" s="29" t="n">
        <v>0.29</v>
      </c>
      <c r="H123" s="30" t="n">
        <v>0.238333333333333</v>
      </c>
      <c r="I123" s="28" t="n">
        <v>34593479</v>
      </c>
    </row>
    <row r="125" customFormat="false" ht="15" hidden="false" customHeight="false" outlineLevel="0" collapsed="false">
      <c r="B125" s="8" t="s">
        <v>122</v>
      </c>
    </row>
    <row r="126" customFormat="false" ht="15" hidden="false" customHeight="false" outlineLevel="0" collapsed="false">
      <c r="B126" s="8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3" min="10" style="0" width="13"/>
    <col collapsed="false" customWidth="true" hidden="false" outlineLevel="0" max="14" min="14" style="0" width="12"/>
  </cols>
  <sheetData>
    <row r="2" customFormat="false" ht="17.35" hidden="false" customHeight="false" outlineLevel="0" collapsed="false">
      <c r="B2" s="1" t="s">
        <v>124</v>
      </c>
    </row>
    <row r="3" customFormat="false" ht="15" hidden="false" customHeight="false" outlineLevel="0" collapsed="false">
      <c r="B3" s="8" t="s">
        <v>125</v>
      </c>
    </row>
    <row r="4" customFormat="false" ht="15" hidden="false" customHeight="false" outlineLevel="0" collapsed="false">
      <c r="B4" s="8" t="s">
        <v>126</v>
      </c>
    </row>
    <row r="5" customFormat="false" ht="15" hidden="false" customHeight="false" outlineLevel="0" collapsed="false">
      <c r="B5" s="8" t="s">
        <v>127</v>
      </c>
    </row>
    <row r="7" customFormat="false" ht="23.85" hidden="false" customHeight="false" outlineLevel="0" collapsed="false">
      <c r="B7" s="21" t="s">
        <v>128</v>
      </c>
      <c r="C7" s="21" t="s">
        <v>115</v>
      </c>
      <c r="D7" s="21" t="s">
        <v>129</v>
      </c>
      <c r="E7" s="21" t="s">
        <v>130</v>
      </c>
      <c r="F7" s="21" t="s">
        <v>131</v>
      </c>
      <c r="G7" s="21" t="s">
        <v>132</v>
      </c>
      <c r="H7" s="21" t="s">
        <v>133</v>
      </c>
      <c r="I7" s="21" t="s">
        <v>134</v>
      </c>
      <c r="J7" s="21" t="s">
        <v>135</v>
      </c>
      <c r="K7" s="21" t="s">
        <v>136</v>
      </c>
      <c r="L7" s="21" t="s">
        <v>137</v>
      </c>
      <c r="M7" s="21" t="s">
        <v>138</v>
      </c>
      <c r="N7" s="21" t="s">
        <v>139</v>
      </c>
    </row>
    <row r="8" customFormat="false" ht="15" hidden="false" customHeight="false" outlineLevel="0" collapsed="false">
      <c r="B8" s="31" t="n">
        <f aca="false">Datos_OWID!B6</f>
        <v>1</v>
      </c>
      <c r="C8" s="32" t="n">
        <f aca="false">Datos_OWID!C6</f>
        <v>43898</v>
      </c>
      <c r="D8" s="33" t="n">
        <f aca="false">IFERROR(INDEX(Tramos_Beta!$G$6:$G$14,MATCH(B8,Tramos_Beta!$E$6:$E$14,1)),INDEX(Tramos_Beta!$G$6:$G$14,1))</f>
        <v>2</v>
      </c>
      <c r="E8" s="34" t="n">
        <f aca="false">Datos_OWID!I6/Parametros!$C$6</f>
        <v>0</v>
      </c>
      <c r="F8" s="35" t="n">
        <f aca="false">Parametros!$C$13*(1-E8*Parametros!$C$15)</f>
        <v>0.006</v>
      </c>
      <c r="G8" s="36" t="n">
        <f aca="false">Parametros!$C$19</f>
        <v>45510224</v>
      </c>
      <c r="H8" s="36" t="n">
        <f aca="false">Parametros!$C$8</f>
        <v>100</v>
      </c>
      <c r="I8" s="36" t="n">
        <v>0</v>
      </c>
      <c r="J8" s="36" t="n">
        <v>0</v>
      </c>
      <c r="K8" s="36" t="n">
        <f aca="false">Parametros!$C$8</f>
        <v>100</v>
      </c>
      <c r="L8" s="36" t="n">
        <v>0</v>
      </c>
      <c r="M8" s="36" t="n">
        <f aca="false">IF(B8&lt;=Parametros!$C$14,0,INDEX($L$8:$L$125,B8-Parametros!$C$14))</f>
        <v>0</v>
      </c>
      <c r="N8" s="37" t="n">
        <f aca="false">D8/Parametros!$C$18*G8/Parametros!$C$6</f>
        <v>2.85713657913249</v>
      </c>
    </row>
    <row r="9" customFormat="false" ht="15" hidden="false" customHeight="false" outlineLevel="0" collapsed="false">
      <c r="B9" s="31" t="n">
        <f aca="false">Datos_OWID!B7</f>
        <v>2</v>
      </c>
      <c r="C9" s="32" t="n">
        <f aca="false">Datos_OWID!C7</f>
        <v>43905</v>
      </c>
      <c r="D9" s="33" t="n">
        <f aca="false">IFERROR(INDEX(Tramos_Beta!$G$6:$G$14,MATCH(B9,Tramos_Beta!$E$6:$E$14,1)),INDEX(Tramos_Beta!$G$6:$G$14,1))</f>
        <v>1.6598</v>
      </c>
      <c r="E9" s="34" t="n">
        <f aca="false">Datos_OWID!I7/Parametros!$C$6</f>
        <v>0</v>
      </c>
      <c r="F9" s="35" t="n">
        <f aca="false">Parametros!$C$13*(1-E9*Parametros!$C$15)</f>
        <v>0.006</v>
      </c>
      <c r="G9" s="36" t="n">
        <f aca="false">MAX(0,G8-D8*G8*H8/Parametros!$C$6)</f>
        <v>45510024.0004395</v>
      </c>
      <c r="H9" s="36" t="n">
        <f aca="false">MAX(0,H8+D8*G8*H8/Parametros!$C$6-Parametros!$C$18*H8)</f>
        <v>229.999560539275</v>
      </c>
      <c r="I9" s="36" t="n">
        <f aca="false">I8+Parametros!$C$18*(1-F8)*H8</f>
        <v>69.58</v>
      </c>
      <c r="J9" s="36" t="n">
        <f aca="false">J8+Parametros!$C$18*F8*H8</f>
        <v>0.42</v>
      </c>
      <c r="K9" s="36" t="n">
        <f aca="false">MAX(0,G8-G9)</f>
        <v>199.999560542405</v>
      </c>
      <c r="L9" s="36" t="n">
        <f aca="false">J9-J8</f>
        <v>0.42</v>
      </c>
      <c r="M9" s="36" t="n">
        <f aca="false">IF(B9&lt;=Parametros!$C$14,0,INDEX($L$8:$L$125,B9-Parametros!$C$14))</f>
        <v>0</v>
      </c>
      <c r="N9" s="37" t="n">
        <f aca="false">D9/Parametros!$C$18*G9/Parametros!$C$6</f>
        <v>2.37112722680335</v>
      </c>
    </row>
    <row r="10" customFormat="false" ht="15" hidden="false" customHeight="false" outlineLevel="0" collapsed="false">
      <c r="B10" s="31" t="n">
        <f aca="false">Datos_OWID!B8</f>
        <v>3</v>
      </c>
      <c r="C10" s="32" t="n">
        <f aca="false">Datos_OWID!C8</f>
        <v>43912</v>
      </c>
      <c r="D10" s="33" t="n">
        <f aca="false">IFERROR(INDEX(Tramos_Beta!$G$6:$G$14,MATCH(B10,Tramos_Beta!$E$6:$E$14,1)),INDEX(Tramos_Beta!$G$6:$G$14,1))</f>
        <v>1.6598</v>
      </c>
      <c r="E10" s="34" t="n">
        <f aca="false">Datos_OWID!I8/Parametros!$C$6</f>
        <v>0</v>
      </c>
      <c r="F10" s="35" t="n">
        <f aca="false">Parametros!$C$13*(1-E10*Parametros!$C$15)</f>
        <v>0.006</v>
      </c>
      <c r="G10" s="36" t="n">
        <f aca="false">MAX(0,G9-D9*G9*H9/Parametros!$C$6)</f>
        <v>45509642.2496854</v>
      </c>
      <c r="H10" s="36" t="n">
        <f aca="false">MAX(0,H9+D9*G9*H9/Parametros!$C$6-Parametros!$C$18*H9)</f>
        <v>450.750622265018</v>
      </c>
      <c r="I10" s="36" t="n">
        <f aca="false">I9+Parametros!$C$18*(1-F9)*H9</f>
        <v>229.613694223227</v>
      </c>
      <c r="J10" s="36" t="n">
        <f aca="false">J9+Parametros!$C$18*F9*H9</f>
        <v>1.38599815426495</v>
      </c>
      <c r="K10" s="36" t="n">
        <f aca="false">MAX(0,G9-G10)</f>
        <v>381.750754103065</v>
      </c>
      <c r="L10" s="36" t="n">
        <f aca="false">J10-J9</f>
        <v>0.965998154264953</v>
      </c>
      <c r="M10" s="36" t="n">
        <f aca="false">IF(B10&lt;=Parametros!$C$14,0,INDEX($L$8:$L$125,B10-Parametros!$C$14))</f>
        <v>0</v>
      </c>
      <c r="N10" s="37" t="n">
        <f aca="false">D10/Parametros!$C$18*G10/Parametros!$C$6</f>
        <v>2.37110733712791</v>
      </c>
    </row>
    <row r="11" customFormat="false" ht="15" hidden="false" customHeight="false" outlineLevel="0" collapsed="false">
      <c r="B11" s="31" t="n">
        <f aca="false">Datos_OWID!B9</f>
        <v>4</v>
      </c>
      <c r="C11" s="32" t="n">
        <f aca="false">Datos_OWID!C9</f>
        <v>43919</v>
      </c>
      <c r="D11" s="33" t="n">
        <f aca="false">IFERROR(INDEX(Tramos_Beta!$G$6:$G$14,MATCH(B11,Tramos_Beta!$E$6:$E$14,1)),INDEX(Tramos_Beta!$G$6:$G$14,1))</f>
        <v>1.6598</v>
      </c>
      <c r="E11" s="34" t="n">
        <f aca="false">Datos_OWID!I9/Parametros!$C$6</f>
        <v>0</v>
      </c>
      <c r="F11" s="35" t="n">
        <f aca="false">Parametros!$C$13*(1-E11*Parametros!$C$15)</f>
        <v>0.006</v>
      </c>
      <c r="G11" s="36" t="n">
        <f aca="false">MAX(0,G10-D10*G10*H10/Parametros!$C$6)</f>
        <v>45508894.10501</v>
      </c>
      <c r="H11" s="36" t="n">
        <f aca="false">MAX(0,H10+D10*G10*H10/Parametros!$C$6-Parametros!$C$18*H10)</f>
        <v>883.369862046793</v>
      </c>
      <c r="I11" s="36" t="n">
        <f aca="false">I10+Parametros!$C$18*(1-F10)*H10</f>
        <v>543.245977195227</v>
      </c>
      <c r="J11" s="36" t="n">
        <f aca="false">J10+Parametros!$C$18*F10*H10</f>
        <v>3.27915076777803</v>
      </c>
      <c r="K11" s="36" t="n">
        <f aca="false">MAX(0,G10-G11)</f>
        <v>748.144675366581</v>
      </c>
      <c r="L11" s="36" t="n">
        <f aca="false">J11-J10</f>
        <v>1.89315261351308</v>
      </c>
      <c r="M11" s="36" t="n">
        <f aca="false">IF(B11&lt;=Parametros!$C$14,0,INDEX($L$8:$L$125,B11-Parametros!$C$14))</f>
        <v>0</v>
      </c>
      <c r="N11" s="37" t="n">
        <f aca="false">D11/Parametros!$C$18*G11/Parametros!$C$6</f>
        <v>2.37106835788656</v>
      </c>
    </row>
    <row r="12" customFormat="false" ht="15" hidden="false" customHeight="false" outlineLevel="0" collapsed="false">
      <c r="B12" s="31" t="n">
        <f aca="false">Datos_OWID!B10</f>
        <v>5</v>
      </c>
      <c r="C12" s="32" t="n">
        <f aca="false">Datos_OWID!C10</f>
        <v>43926</v>
      </c>
      <c r="D12" s="33" t="n">
        <f aca="false">IFERROR(INDEX(Tramos_Beta!$G$6:$G$14,MATCH(B12,Tramos_Beta!$E$6:$E$14,1)),INDEX(Tramos_Beta!$G$6:$G$14,1))</f>
        <v>1.6598</v>
      </c>
      <c r="E12" s="34" t="n">
        <f aca="false">Datos_OWID!I10/Parametros!$C$6</f>
        <v>0</v>
      </c>
      <c r="F12" s="35" t="n">
        <f aca="false">Parametros!$C$13*(1-E12*Parametros!$C$15)</f>
        <v>0.006</v>
      </c>
      <c r="G12" s="36" t="n">
        <f aca="false">MAX(0,G11-D11*G11*H11/Parametros!$C$6)</f>
        <v>45507427.9337802</v>
      </c>
      <c r="H12" s="36" t="n">
        <f aca="false">MAX(0,H11+D11*G11*H11/Parametros!$C$6-Parametros!$C$18*H11)</f>
        <v>1731.18218836087</v>
      </c>
      <c r="I12" s="36" t="n">
        <f aca="false">I11+Parametros!$C$18*(1-F11)*H11</f>
        <v>1157.89472720739</v>
      </c>
      <c r="J12" s="36" t="n">
        <f aca="false">J11+Parametros!$C$18*F11*H11</f>
        <v>6.98930418837456</v>
      </c>
      <c r="K12" s="36" t="n">
        <f aca="false">MAX(0,G11-G12)</f>
        <v>1466.17122974992</v>
      </c>
      <c r="L12" s="36" t="n">
        <f aca="false">J12-J11</f>
        <v>3.71015342059653</v>
      </c>
      <c r="M12" s="36" t="n">
        <f aca="false">IF(B12&lt;=Parametros!$C$14,0,INDEX($L$8:$L$125,B12-Parametros!$C$14))</f>
        <v>0.42</v>
      </c>
      <c r="N12" s="37" t="n">
        <f aca="false">D12/Parametros!$C$18*G12/Parametros!$C$6</f>
        <v>2.37099196859434</v>
      </c>
    </row>
    <row r="13" customFormat="false" ht="15" hidden="false" customHeight="false" outlineLevel="0" collapsed="false">
      <c r="B13" s="31" t="n">
        <f aca="false">Datos_OWID!B11</f>
        <v>6</v>
      </c>
      <c r="C13" s="32" t="n">
        <f aca="false">Datos_OWID!C11</f>
        <v>43933</v>
      </c>
      <c r="D13" s="33" t="n">
        <f aca="false">IFERROR(INDEX(Tramos_Beta!$G$6:$G$14,MATCH(B13,Tramos_Beta!$E$6:$E$14,1)),INDEX(Tramos_Beta!$G$6:$G$14,1))</f>
        <v>1.6598</v>
      </c>
      <c r="E13" s="34" t="n">
        <f aca="false">Datos_OWID!I11/Parametros!$C$6</f>
        <v>0</v>
      </c>
      <c r="F13" s="35" t="n">
        <f aca="false">Parametros!$C$13*(1-E13*Parametros!$C$15)</f>
        <v>0.006</v>
      </c>
      <c r="G13" s="36" t="n">
        <f aca="false">MAX(0,G12-D12*G12*H12/Parametros!$C$6)</f>
        <v>45504554.7004349</v>
      </c>
      <c r="H13" s="36" t="n">
        <f aca="false">MAX(0,H12+D12*G12*H12/Parametros!$C$6-Parametros!$C$18*H12)</f>
        <v>3392.58800185231</v>
      </c>
      <c r="I13" s="36" t="n">
        <f aca="false">I12+Parametros!$C$18*(1-F12)*H12</f>
        <v>2362.45129386888</v>
      </c>
      <c r="J13" s="36" t="n">
        <f aca="false">J12+Parametros!$C$18*F12*H12</f>
        <v>14.2602693794902</v>
      </c>
      <c r="K13" s="36" t="n">
        <f aca="false">MAX(0,G12-G13)</f>
        <v>2873.23334534466</v>
      </c>
      <c r="L13" s="36" t="n">
        <f aca="false">J13-J12</f>
        <v>7.27096519111566</v>
      </c>
      <c r="M13" s="36" t="n">
        <f aca="false">IF(B13&lt;=Parametros!$C$14,0,INDEX($L$8:$L$125,B13-Parametros!$C$14))</f>
        <v>0.965998154264953</v>
      </c>
      <c r="N13" s="37" t="n">
        <f aca="false">D13/Parametros!$C$18*G13/Parametros!$C$6</f>
        <v>2.37084226966617</v>
      </c>
    </row>
    <row r="14" customFormat="false" ht="15" hidden="false" customHeight="false" outlineLevel="0" collapsed="false">
      <c r="B14" s="31" t="n">
        <f aca="false">Datos_OWID!B12</f>
        <v>7</v>
      </c>
      <c r="C14" s="32" t="n">
        <f aca="false">Datos_OWID!C12</f>
        <v>43940</v>
      </c>
      <c r="D14" s="33" t="n">
        <f aca="false">IFERROR(INDEX(Tramos_Beta!$G$6:$G$14,MATCH(B14,Tramos_Beta!$E$6:$E$14,1)),INDEX(Tramos_Beta!$G$6:$G$14,1))</f>
        <v>1.6598</v>
      </c>
      <c r="E14" s="34" t="n">
        <f aca="false">Datos_OWID!I12/Parametros!$C$6</f>
        <v>0</v>
      </c>
      <c r="F14" s="35" t="n">
        <f aca="false">Parametros!$C$13*(1-E14*Parametros!$C$15)</f>
        <v>0.006</v>
      </c>
      <c r="G14" s="36" t="n">
        <f aca="false">MAX(0,G13-D13*G13*H13/Parametros!$C$6)</f>
        <v>45498924.3967081</v>
      </c>
      <c r="H14" s="36" t="n">
        <f aca="false">MAX(0,H13+D13*G13*H13/Parametros!$C$6-Parametros!$C$18*H13)</f>
        <v>6648.0801274033</v>
      </c>
      <c r="I14" s="36" t="n">
        <f aca="false">I13+Parametros!$C$18*(1-F13)*H13</f>
        <v>4723.01402555771</v>
      </c>
      <c r="J14" s="36" t="n">
        <f aca="false">J13+Parametros!$C$18*F13*H13</f>
        <v>28.5091389872699</v>
      </c>
      <c r="K14" s="36" t="n">
        <f aca="false">MAX(0,G13-G14)</f>
        <v>5630.30372684449</v>
      </c>
      <c r="L14" s="36" t="n">
        <f aca="false">J14-J13</f>
        <v>14.2488696077797</v>
      </c>
      <c r="M14" s="36" t="n">
        <f aca="false">IF(B14&lt;=Parametros!$C$14,0,INDEX($L$8:$L$125,B14-Parametros!$C$14))</f>
        <v>1.89315261351308</v>
      </c>
      <c r="N14" s="37" t="n">
        <f aca="false">D14/Parametros!$C$18*G14/Parametros!$C$6</f>
        <v>2.37054892404056</v>
      </c>
    </row>
    <row r="15" customFormat="false" ht="15" hidden="false" customHeight="false" outlineLevel="0" collapsed="false">
      <c r="B15" s="31" t="n">
        <f aca="false">Datos_OWID!B13</f>
        <v>8</v>
      </c>
      <c r="C15" s="32" t="n">
        <f aca="false">Datos_OWID!C13</f>
        <v>43947</v>
      </c>
      <c r="D15" s="33" t="n">
        <f aca="false">IFERROR(INDEX(Tramos_Beta!$G$6:$G$14,MATCH(B15,Tramos_Beta!$E$6:$E$14,1)),INDEX(Tramos_Beta!$G$6:$G$14,1))</f>
        <v>1.6598</v>
      </c>
      <c r="E15" s="34" t="n">
        <f aca="false">Datos_OWID!I13/Parametros!$C$6</f>
        <v>0</v>
      </c>
      <c r="F15" s="35" t="n">
        <f aca="false">Parametros!$C$13*(1-E15*Parametros!$C$15)</f>
        <v>0.006</v>
      </c>
      <c r="G15" s="36" t="n">
        <f aca="false">MAX(0,G14-D14*G14*H14/Parametros!$C$6)</f>
        <v>45487892.677273</v>
      </c>
      <c r="H15" s="36" t="n">
        <f aca="false">MAX(0,H14+D14*G14*H14/Parametros!$C$6-Parametros!$C$18*H14)</f>
        <v>13026.1434732869</v>
      </c>
      <c r="I15" s="36" t="n">
        <f aca="false">I14+Parametros!$C$18*(1-F14)*H14</f>
        <v>9348.74817820493</v>
      </c>
      <c r="J15" s="36" t="n">
        <f aca="false">J14+Parametros!$C$18*F14*H14</f>
        <v>56.4310755223638</v>
      </c>
      <c r="K15" s="36" t="n">
        <f aca="false">MAX(0,G14-G15)</f>
        <v>11031.719435066</v>
      </c>
      <c r="L15" s="36" t="n">
        <f aca="false">J15-J14</f>
        <v>27.9219365350939</v>
      </c>
      <c r="M15" s="36" t="n">
        <f aca="false">IF(B15&lt;=Parametros!$C$14,0,INDEX($L$8:$L$125,B15-Parametros!$C$14))</f>
        <v>3.71015342059653</v>
      </c>
      <c r="N15" s="37" t="n">
        <f aca="false">D15/Parametros!$C$18*G15/Parametros!$C$6</f>
        <v>2.36997415813161</v>
      </c>
    </row>
    <row r="16" customFormat="false" ht="15" hidden="false" customHeight="false" outlineLevel="0" collapsed="false">
      <c r="B16" s="31" t="n">
        <f aca="false">Datos_OWID!B14</f>
        <v>9</v>
      </c>
      <c r="C16" s="32" t="n">
        <f aca="false">Datos_OWID!C14</f>
        <v>43954</v>
      </c>
      <c r="D16" s="33" t="n">
        <f aca="false">IFERROR(INDEX(Tramos_Beta!$G$6:$G$14,MATCH(B16,Tramos_Beta!$E$6:$E$14,1)),INDEX(Tramos_Beta!$G$6:$G$14,1))</f>
        <v>1.6598</v>
      </c>
      <c r="E16" s="34" t="n">
        <f aca="false">Datos_OWID!I14/Parametros!$C$6</f>
        <v>0</v>
      </c>
      <c r="F16" s="35" t="n">
        <f aca="false">Parametros!$C$13*(1-E16*Parametros!$C$15)</f>
        <v>0.006</v>
      </c>
      <c r="G16" s="36" t="n">
        <f aca="false">MAX(0,G15-D15*G15*H15/Parametros!$C$6)</f>
        <v>45466282.5408847</v>
      </c>
      <c r="H16" s="36" t="n">
        <f aca="false">MAX(0,H15+D15*G15*H15/Parametros!$C$6-Parametros!$C$18*H15)</f>
        <v>25517.9794302493</v>
      </c>
      <c r="I16" s="36" t="n">
        <f aca="false">I15+Parametros!$C$18*(1-F15)*H15</f>
        <v>18412.338806918</v>
      </c>
      <c r="J16" s="36" t="n">
        <f aca="false">J15+Parametros!$C$18*F15*H15</f>
        <v>111.140878110169</v>
      </c>
      <c r="K16" s="36" t="n">
        <f aca="false">MAX(0,G15-G16)</f>
        <v>21610.1363882646</v>
      </c>
      <c r="L16" s="36" t="n">
        <f aca="false">J16-J15</f>
        <v>54.709802587805</v>
      </c>
      <c r="M16" s="36" t="n">
        <f aca="false">IF(B16&lt;=Parametros!$C$14,0,INDEX($L$8:$L$125,B16-Parametros!$C$14))</f>
        <v>7.27096519111566</v>
      </c>
      <c r="N16" s="37" t="n">
        <f aca="false">D16/Parametros!$C$18*G16/Parametros!$C$6</f>
        <v>2.36884824392061</v>
      </c>
    </row>
    <row r="17" customFormat="false" ht="15" hidden="false" customHeight="false" outlineLevel="0" collapsed="false">
      <c r="B17" s="31" t="n">
        <f aca="false">Datos_OWID!B15</f>
        <v>10</v>
      </c>
      <c r="C17" s="32" t="n">
        <f aca="false">Datos_OWID!C15</f>
        <v>43961</v>
      </c>
      <c r="D17" s="33" t="n">
        <f aca="false">IFERROR(INDEX(Tramos_Beta!$G$6:$G$14,MATCH(B17,Tramos_Beta!$E$6:$E$14,1)),INDEX(Tramos_Beta!$G$6:$G$14,1))</f>
        <v>1.6598</v>
      </c>
      <c r="E17" s="34" t="n">
        <f aca="false">Datos_OWID!I15/Parametros!$C$6</f>
        <v>0</v>
      </c>
      <c r="F17" s="35" t="n">
        <f aca="false">Parametros!$C$13*(1-E17*Parametros!$C$15)</f>
        <v>0.006</v>
      </c>
      <c r="G17" s="36" t="n">
        <f aca="false">MAX(0,G16-D16*G16*H16/Parametros!$C$6)</f>
        <v>45423968.7863515</v>
      </c>
      <c r="H17" s="36" t="n">
        <f aca="false">MAX(0,H16+D16*G16*H16/Parametros!$C$6-Parametros!$C$18*H16)</f>
        <v>49969.1483622986</v>
      </c>
      <c r="I17" s="36" t="n">
        <f aca="false">I16+Parametros!$C$18*(1-F16)*H16</f>
        <v>36167.7488944855</v>
      </c>
      <c r="J17" s="36" t="n">
        <f aca="false">J16+Parametros!$C$18*F16*H16</f>
        <v>218.316391717216</v>
      </c>
      <c r="K17" s="36" t="n">
        <f aca="false">MAX(0,G16-G17)</f>
        <v>42313.7545332238</v>
      </c>
      <c r="L17" s="36" t="n">
        <f aca="false">J17-J16</f>
        <v>107.175513607047</v>
      </c>
      <c r="M17" s="36" t="n">
        <f aca="false">IF(B17&lt;=Parametros!$C$14,0,INDEX($L$8:$L$125,B17-Parametros!$C$14))</f>
        <v>14.2488696077797</v>
      </c>
      <c r="N17" s="37" t="n">
        <f aca="false">D17/Parametros!$C$18*G17/Parametros!$C$6</f>
        <v>2.36664364619416</v>
      </c>
    </row>
    <row r="18" customFormat="false" ht="15" hidden="false" customHeight="false" outlineLevel="0" collapsed="false">
      <c r="B18" s="31" t="n">
        <f aca="false">Datos_OWID!B16</f>
        <v>11</v>
      </c>
      <c r="C18" s="32" t="n">
        <f aca="false">Datos_OWID!C16</f>
        <v>43968</v>
      </c>
      <c r="D18" s="33" t="n">
        <f aca="false">IFERROR(INDEX(Tramos_Beta!$G$6:$G$14,MATCH(B18,Tramos_Beta!$E$6:$E$14,1)),INDEX(Tramos_Beta!$G$6:$G$14,1))</f>
        <v>1.6598</v>
      </c>
      <c r="E18" s="34" t="n">
        <f aca="false">Datos_OWID!I16/Parametros!$C$6</f>
        <v>0</v>
      </c>
      <c r="F18" s="35" t="n">
        <f aca="false">Parametros!$C$13*(1-E18*Parametros!$C$15)</f>
        <v>0.006</v>
      </c>
      <c r="G18" s="36" t="n">
        <f aca="false">MAX(0,G17-D17*G17*H17/Parametros!$C$6)</f>
        <v>45341187.3691173</v>
      </c>
      <c r="H18" s="36" t="n">
        <f aca="false">MAX(0,H17+D17*G17*H17/Parametros!$C$6-Parametros!$C$18*H17)</f>
        <v>97772.1617428466</v>
      </c>
      <c r="I18" s="36" t="n">
        <f aca="false">I17+Parametros!$C$18*(1-F17)*H17</f>
        <v>70936.2823249728</v>
      </c>
      <c r="J18" s="36" t="n">
        <f aca="false">J17+Parametros!$C$18*F17*H17</f>
        <v>428.18681483887</v>
      </c>
      <c r="K18" s="36" t="n">
        <f aca="false">MAX(0,G17-G18)</f>
        <v>82781.41723416</v>
      </c>
      <c r="L18" s="36" t="n">
        <f aca="false">J18-J17</f>
        <v>209.870423121654</v>
      </c>
      <c r="M18" s="36" t="n">
        <f aca="false">IF(B18&lt;=Parametros!$C$14,0,INDEX($L$8:$L$125,B18-Parametros!$C$14))</f>
        <v>27.9219365350939</v>
      </c>
      <c r="N18" s="37" t="n">
        <f aca="false">D18/Parametros!$C$18*G18/Parametros!$C$6</f>
        <v>2.36233063435581</v>
      </c>
    </row>
    <row r="19" customFormat="false" ht="15" hidden="false" customHeight="false" outlineLevel="0" collapsed="false">
      <c r="B19" s="31" t="n">
        <f aca="false">Datos_OWID!B17</f>
        <v>12</v>
      </c>
      <c r="C19" s="32" t="n">
        <f aca="false">Datos_OWID!C17</f>
        <v>43975</v>
      </c>
      <c r="D19" s="33" t="n">
        <f aca="false">IFERROR(INDEX(Tramos_Beta!$G$6:$G$14,MATCH(B19,Tramos_Beta!$E$6:$E$14,1)),INDEX(Tramos_Beta!$G$6:$G$14,1))</f>
        <v>1.6598</v>
      </c>
      <c r="E19" s="34" t="n">
        <f aca="false">Datos_OWID!I17/Parametros!$C$6</f>
        <v>0</v>
      </c>
      <c r="F19" s="35" t="n">
        <f aca="false">Parametros!$C$13*(1-E19*Parametros!$C$15)</f>
        <v>0.006</v>
      </c>
      <c r="G19" s="36" t="n">
        <f aca="false">MAX(0,G18-D18*G18*H18/Parametros!$C$6)</f>
        <v>45179508.2481067</v>
      </c>
      <c r="H19" s="36" t="n">
        <f aca="false">MAX(0,H18+D18*G18*H18/Parametros!$C$6-Parametros!$C$18*H18)</f>
        <v>191010.769533476</v>
      </c>
      <c r="I19" s="36" t="n">
        <f aca="false">I18+Parametros!$C$18*(1-F18)*H18</f>
        <v>138966.152465646</v>
      </c>
      <c r="J19" s="36" t="n">
        <f aca="false">J18+Parametros!$C$18*F18*H18</f>
        <v>838.829894158826</v>
      </c>
      <c r="K19" s="36" t="n">
        <f aca="false">MAX(0,G18-G19)</f>
        <v>161679.121010624</v>
      </c>
      <c r="L19" s="36" t="n">
        <f aca="false">J19-J18</f>
        <v>410.643079319956</v>
      </c>
      <c r="M19" s="36" t="n">
        <f aca="false">IF(B19&lt;=Parametros!$C$14,0,INDEX($L$8:$L$125,B19-Parametros!$C$14))</f>
        <v>54.709802587805</v>
      </c>
      <c r="N19" s="37" t="n">
        <f aca="false">D19/Parametros!$C$18*G19/Parametros!$C$6</f>
        <v>2.35390695684182</v>
      </c>
    </row>
    <row r="20" customFormat="false" ht="15" hidden="false" customHeight="false" outlineLevel="0" collapsed="false">
      <c r="B20" s="31" t="n">
        <f aca="false">Datos_OWID!B18</f>
        <v>13</v>
      </c>
      <c r="C20" s="32" t="n">
        <f aca="false">Datos_OWID!C18</f>
        <v>43982</v>
      </c>
      <c r="D20" s="33" t="n">
        <f aca="false">IFERROR(INDEX(Tramos_Beta!$G$6:$G$14,MATCH(B20,Tramos_Beta!$E$6:$E$14,1)),INDEX(Tramos_Beta!$G$6:$G$14,1))</f>
        <v>0.7636</v>
      </c>
      <c r="E20" s="34" t="n">
        <f aca="false">Datos_OWID!I18/Parametros!$C$6</f>
        <v>0</v>
      </c>
      <c r="F20" s="35" t="n">
        <f aca="false">Parametros!$C$13*(1-E20*Parametros!$C$15)</f>
        <v>0.006</v>
      </c>
      <c r="G20" s="36" t="n">
        <f aca="false">MAX(0,G19-D19*G19*H19/Parametros!$C$6)</f>
        <v>44864773.1426411</v>
      </c>
      <c r="H20" s="36" t="n">
        <f aca="false">MAX(0,H19+D19*G19*H19/Parametros!$C$6-Parametros!$C$18*H19)</f>
        <v>372038.336325634</v>
      </c>
      <c r="I20" s="36" t="n">
        <f aca="false">I19+Parametros!$C$18*(1-F19)*H19</f>
        <v>271871.445907038</v>
      </c>
      <c r="J20" s="36" t="n">
        <f aca="false">J19+Parametros!$C$18*F19*H19</f>
        <v>1641.07512619943</v>
      </c>
      <c r="K20" s="36" t="n">
        <f aca="false">MAX(0,G19-G20)</f>
        <v>314735.105465591</v>
      </c>
      <c r="L20" s="36" t="n">
        <f aca="false">J20-J19</f>
        <v>802.245232040601</v>
      </c>
      <c r="M20" s="36" t="n">
        <f aca="false">IF(B20&lt;=Parametros!$C$14,0,INDEX($L$8:$L$125,B20-Parametros!$C$14))</f>
        <v>107.175513607047</v>
      </c>
      <c r="N20" s="37" t="n">
        <f aca="false">D20/Parametros!$C$18*G20/Parametros!$C$6</f>
        <v>1.07538364801172</v>
      </c>
    </row>
    <row r="21" customFormat="false" ht="15" hidden="false" customHeight="false" outlineLevel="0" collapsed="false">
      <c r="B21" s="31" t="n">
        <f aca="false">Datos_OWID!B19</f>
        <v>14</v>
      </c>
      <c r="C21" s="32" t="n">
        <f aca="false">Datos_OWID!C19</f>
        <v>43989</v>
      </c>
      <c r="D21" s="33" t="n">
        <f aca="false">IFERROR(INDEX(Tramos_Beta!$G$6:$G$14,MATCH(B21,Tramos_Beta!$E$6:$E$14,1)),INDEX(Tramos_Beta!$G$6:$G$14,1))</f>
        <v>0.7636</v>
      </c>
      <c r="E21" s="34" t="n">
        <f aca="false">Datos_OWID!I19/Parametros!$C$6</f>
        <v>0</v>
      </c>
      <c r="F21" s="35" t="n">
        <f aca="false">Parametros!$C$13*(1-E21*Parametros!$C$15)</f>
        <v>0.006</v>
      </c>
      <c r="G21" s="36" t="n">
        <f aca="false">MAX(0,G20-D20*G20*H20/Parametros!$C$6)</f>
        <v>44584714.3823185</v>
      </c>
      <c r="H21" s="36" t="n">
        <f aca="false">MAX(0,H20+D20*G20*H20/Parametros!$C$6-Parametros!$C$18*H20)</f>
        <v>391670.261220341</v>
      </c>
      <c r="I21" s="36" t="n">
        <f aca="false">I20+Parametros!$C$18*(1-F20)*H20</f>
        <v>530735.720322415</v>
      </c>
      <c r="J21" s="36" t="n">
        <f aca="false">J20+Parametros!$C$18*F20*H20</f>
        <v>3203.63613876709</v>
      </c>
      <c r="K21" s="36" t="n">
        <f aca="false">MAX(0,G20-G21)</f>
        <v>280058.760322653</v>
      </c>
      <c r="L21" s="36" t="n">
        <f aca="false">J21-J20</f>
        <v>1562.56101256766</v>
      </c>
      <c r="M21" s="36" t="n">
        <f aca="false">IF(B21&lt;=Parametros!$C$14,0,INDEX($L$8:$L$125,B21-Parametros!$C$14))</f>
        <v>209.870423121654</v>
      </c>
      <c r="N21" s="37" t="n">
        <f aca="false">D21/Parametros!$C$18*G21/Parametros!$C$6</f>
        <v>1.06867079536058</v>
      </c>
    </row>
    <row r="22" customFormat="false" ht="15" hidden="false" customHeight="false" outlineLevel="0" collapsed="false">
      <c r="B22" s="31" t="n">
        <f aca="false">Datos_OWID!B20</f>
        <v>15</v>
      </c>
      <c r="C22" s="32" t="n">
        <f aca="false">Datos_OWID!C20</f>
        <v>43996</v>
      </c>
      <c r="D22" s="33" t="n">
        <f aca="false">IFERROR(INDEX(Tramos_Beta!$G$6:$G$14,MATCH(B22,Tramos_Beta!$E$6:$E$14,1)),INDEX(Tramos_Beta!$G$6:$G$14,1))</f>
        <v>0.7636</v>
      </c>
      <c r="E22" s="34" t="n">
        <f aca="false">Datos_OWID!I20/Parametros!$C$6</f>
        <v>0</v>
      </c>
      <c r="F22" s="35" t="n">
        <f aca="false">Parametros!$C$13*(1-E22*Parametros!$C$15)</f>
        <v>0.006</v>
      </c>
      <c r="G22" s="36" t="n">
        <f aca="false">MAX(0,G21-D21*G21*H21/Parametros!$C$6)</f>
        <v>44291717.7836143</v>
      </c>
      <c r="H22" s="36" t="n">
        <f aca="false">MAX(0,H21+D21*G21*H21/Parametros!$C$6-Parametros!$C$18*H21)</f>
        <v>410497.677070301</v>
      </c>
      <c r="I22" s="36" t="n">
        <f aca="false">I21+Parametros!$C$18*(1-F21)*H21</f>
        <v>803259.888079528</v>
      </c>
      <c r="J22" s="36" t="n">
        <f aca="false">J21+Parametros!$C$18*F21*H21</f>
        <v>4848.65123589252</v>
      </c>
      <c r="K22" s="36" t="n">
        <f aca="false">MAX(0,G21-G22)</f>
        <v>292996.598704197</v>
      </c>
      <c r="L22" s="36" t="n">
        <f aca="false">J22-J21</f>
        <v>1645.01509712543</v>
      </c>
      <c r="M22" s="36" t="n">
        <f aca="false">IF(B22&lt;=Parametros!$C$14,0,INDEX($L$8:$L$125,B22-Parametros!$C$14))</f>
        <v>410.643079319956</v>
      </c>
      <c r="N22" s="37" t="n">
        <f aca="false">D22/Parametros!$C$18*G22/Parametros!$C$6</f>
        <v>1.06164782992247</v>
      </c>
    </row>
    <row r="23" customFormat="false" ht="15" hidden="false" customHeight="false" outlineLevel="0" collapsed="false">
      <c r="B23" s="31" t="n">
        <f aca="false">Datos_OWID!B21</f>
        <v>16</v>
      </c>
      <c r="C23" s="32" t="n">
        <f aca="false">Datos_OWID!C21</f>
        <v>44003</v>
      </c>
      <c r="D23" s="33" t="n">
        <f aca="false">IFERROR(INDEX(Tramos_Beta!$G$6:$G$14,MATCH(B23,Tramos_Beta!$E$6:$E$14,1)),INDEX(Tramos_Beta!$G$6:$G$14,1))</f>
        <v>0.7636</v>
      </c>
      <c r="E23" s="34" t="n">
        <f aca="false">Datos_OWID!I21/Parametros!$C$6</f>
        <v>0</v>
      </c>
      <c r="F23" s="35" t="n">
        <f aca="false">Parametros!$C$13*(1-E23*Parametros!$C$15)</f>
        <v>0.006</v>
      </c>
      <c r="G23" s="36" t="n">
        <f aca="false">MAX(0,G22-D22*G22*H22/Parametros!$C$6)</f>
        <v>43986655.0059793</v>
      </c>
      <c r="H23" s="36" t="n">
        <f aca="false">MAX(0,H22+D22*G22*H22/Parametros!$C$6-Parametros!$C$18*H22)</f>
        <v>428212.08075602</v>
      </c>
      <c r="I23" s="36" t="n">
        <f aca="false">I22+Parametros!$C$18*(1-F22)*H22</f>
        <v>1088884.17178504</v>
      </c>
      <c r="J23" s="36" t="n">
        <f aca="false">J22+Parametros!$C$18*F22*H22</f>
        <v>6572.74147958779</v>
      </c>
      <c r="K23" s="36" t="n">
        <f aca="false">MAX(0,G22-G23)</f>
        <v>305062.777634926</v>
      </c>
      <c r="L23" s="36" t="n">
        <f aca="false">J23-J22</f>
        <v>1724.09024369527</v>
      </c>
      <c r="M23" s="36" t="n">
        <f aca="false">IF(B23&lt;=Parametros!$C$14,0,INDEX($L$8:$L$125,B23-Parametros!$C$14))</f>
        <v>802.245232040601</v>
      </c>
      <c r="N23" s="37" t="n">
        <f aca="false">D23/Parametros!$C$18*G23/Parametros!$C$6</f>
        <v>1.0543356448894</v>
      </c>
    </row>
    <row r="24" customFormat="false" ht="15" hidden="false" customHeight="false" outlineLevel="0" collapsed="false">
      <c r="B24" s="31" t="n">
        <f aca="false">Datos_OWID!B22</f>
        <v>17</v>
      </c>
      <c r="C24" s="32" t="n">
        <f aca="false">Datos_OWID!C22</f>
        <v>44010</v>
      </c>
      <c r="D24" s="33" t="n">
        <f aca="false">IFERROR(INDEX(Tramos_Beta!$G$6:$G$14,MATCH(B24,Tramos_Beta!$E$6:$E$14,1)),INDEX(Tramos_Beta!$G$6:$G$14,1))</f>
        <v>0.7636</v>
      </c>
      <c r="E24" s="34" t="n">
        <f aca="false">Datos_OWID!I22/Parametros!$C$6</f>
        <v>0</v>
      </c>
      <c r="F24" s="35" t="n">
        <f aca="false">Parametros!$C$13*(1-E24*Parametros!$C$15)</f>
        <v>0.006</v>
      </c>
      <c r="G24" s="36" t="n">
        <f aca="false">MAX(0,G23-D23*G23*H23/Parametros!$C$6)</f>
        <v>43670619.52376</v>
      </c>
      <c r="H24" s="36" t="n">
        <f aca="false">MAX(0,H23+D23*G23*H23/Parametros!$C$6-Parametros!$C$18*H23)</f>
        <v>444499.106446136</v>
      </c>
      <c r="I24" s="36" t="n">
        <f aca="false">I23+Parametros!$C$18*(1-F23)*H23</f>
        <v>1386834.13757508</v>
      </c>
      <c r="J24" s="36" t="n">
        <f aca="false">J23+Parametros!$C$18*F23*H23</f>
        <v>8371.23221876307</v>
      </c>
      <c r="K24" s="36" t="n">
        <f aca="false">MAX(0,G23-G24)</f>
        <v>316035.482219331</v>
      </c>
      <c r="L24" s="36" t="n">
        <f aca="false">J24-J23</f>
        <v>1798.49073917528</v>
      </c>
      <c r="M24" s="36" t="n">
        <f aca="false">IF(B24&lt;=Parametros!$C$14,0,INDEX($L$8:$L$125,B24-Parametros!$C$14))</f>
        <v>1562.56101256766</v>
      </c>
      <c r="N24" s="37" t="n">
        <f aca="false">D24/Parametros!$C$18*G24/Parametros!$C$6</f>
        <v>1.04676045023301</v>
      </c>
    </row>
    <row r="25" customFormat="false" ht="15" hidden="false" customHeight="false" outlineLevel="0" collapsed="false">
      <c r="B25" s="31" t="n">
        <f aca="false">Datos_OWID!B23</f>
        <v>18</v>
      </c>
      <c r="C25" s="32" t="n">
        <f aca="false">Datos_OWID!C23</f>
        <v>44017</v>
      </c>
      <c r="D25" s="33" t="n">
        <f aca="false">IFERROR(INDEX(Tramos_Beta!$G$6:$G$14,MATCH(B25,Tramos_Beta!$E$6:$E$14,1)),INDEX(Tramos_Beta!$G$6:$G$14,1))</f>
        <v>0.7636</v>
      </c>
      <c r="E25" s="34" t="n">
        <f aca="false">Datos_OWID!I23/Parametros!$C$6</f>
        <v>0</v>
      </c>
      <c r="F25" s="35" t="n">
        <f aca="false">Parametros!$C$13*(1-E25*Parametros!$C$15)</f>
        <v>0.006</v>
      </c>
      <c r="G25" s="36" t="n">
        <f aca="false">MAX(0,G24-D24*G24*H24/Parametros!$C$6)</f>
        <v>43344920.6644058</v>
      </c>
      <c r="H25" s="36" t="n">
        <f aca="false">MAX(0,H24+D24*G24*H24/Parametros!$C$6-Parametros!$C$18*H24)</f>
        <v>459048.591288051</v>
      </c>
      <c r="I25" s="36" t="n">
        <f aca="false">I24+Parametros!$C$18*(1-F24)*H24</f>
        <v>1696116.6158403</v>
      </c>
      <c r="J25" s="36" t="n">
        <f aca="false">J24+Parametros!$C$18*F24*H24</f>
        <v>10238.1284658368</v>
      </c>
      <c r="K25" s="36" t="n">
        <f aca="false">MAX(0,G24-G25)</f>
        <v>325698.859354213</v>
      </c>
      <c r="L25" s="36" t="n">
        <f aca="false">J25-J24</f>
        <v>1866.89624707377</v>
      </c>
      <c r="M25" s="36" t="n">
        <f aca="false">IF(B25&lt;=Parametros!$C$14,0,INDEX($L$8:$L$125,B25-Parametros!$C$14))</f>
        <v>1645.01509712543</v>
      </c>
      <c r="N25" s="37" t="n">
        <f aca="false">D25/Parametros!$C$18*G25/Parametros!$C$6</f>
        <v>1.03895362980372</v>
      </c>
    </row>
    <row r="26" customFormat="false" ht="15" hidden="false" customHeight="false" outlineLevel="0" collapsed="false">
      <c r="B26" s="31" t="n">
        <f aca="false">Datos_OWID!B24</f>
        <v>19</v>
      </c>
      <c r="C26" s="32" t="n">
        <f aca="false">Datos_OWID!C24</f>
        <v>44024</v>
      </c>
      <c r="D26" s="33" t="n">
        <f aca="false">IFERROR(INDEX(Tramos_Beta!$G$6:$G$14,MATCH(B26,Tramos_Beta!$E$6:$E$14,1)),INDEX(Tramos_Beta!$G$6:$G$14,1))</f>
        <v>0.7636</v>
      </c>
      <c r="E26" s="34" t="n">
        <f aca="false">Datos_OWID!I24/Parametros!$C$6</f>
        <v>0</v>
      </c>
      <c r="F26" s="35" t="n">
        <f aca="false">Parametros!$C$13*(1-E26*Parametros!$C$15)</f>
        <v>0.006</v>
      </c>
      <c r="G26" s="36" t="n">
        <f aca="false">MAX(0,G25-D25*G25*H25/Parametros!$C$6)</f>
        <v>43011069.5242833</v>
      </c>
      <c r="H26" s="36" t="n">
        <f aca="false">MAX(0,H25+D25*G25*H25/Parametros!$C$6-Parametros!$C$18*H25)</f>
        <v>471565.717508918</v>
      </c>
      <c r="I26" s="36" t="n">
        <f aca="false">I25+Parametros!$C$18*(1-F25)*H25</f>
        <v>2015522.62565853</v>
      </c>
      <c r="J26" s="36" t="n">
        <f aca="false">J25+Parametros!$C$18*F25*H25</f>
        <v>12166.1325492467</v>
      </c>
      <c r="K26" s="36" t="n">
        <f aca="false">MAX(0,G25-G26)</f>
        <v>333851.140122503</v>
      </c>
      <c r="L26" s="36" t="n">
        <f aca="false">J26-J25</f>
        <v>1928.00408340981</v>
      </c>
      <c r="M26" s="36" t="n">
        <f aca="false">IF(B26&lt;=Parametros!$C$14,0,INDEX($L$8:$L$125,B26-Parametros!$C$14))</f>
        <v>1724.09024369527</v>
      </c>
      <c r="N26" s="37" t="n">
        <f aca="false">D26/Parametros!$C$18*G26/Parametros!$C$6</f>
        <v>1.0309514037406</v>
      </c>
    </row>
    <row r="27" customFormat="false" ht="15" hidden="false" customHeight="false" outlineLevel="0" collapsed="false">
      <c r="B27" s="31" t="n">
        <f aca="false">Datos_OWID!B25</f>
        <v>20</v>
      </c>
      <c r="C27" s="32" t="n">
        <f aca="false">Datos_OWID!C25</f>
        <v>44031</v>
      </c>
      <c r="D27" s="33" t="n">
        <f aca="false">IFERROR(INDEX(Tramos_Beta!$G$6:$G$14,MATCH(B27,Tramos_Beta!$E$6:$E$14,1)),INDEX(Tramos_Beta!$G$6:$G$14,1))</f>
        <v>0.7636</v>
      </c>
      <c r="E27" s="34" t="n">
        <f aca="false">Datos_OWID!I25/Parametros!$C$6</f>
        <v>0</v>
      </c>
      <c r="F27" s="35" t="n">
        <f aca="false">Parametros!$C$13*(1-E27*Parametros!$C$15)</f>
        <v>0.006</v>
      </c>
      <c r="G27" s="36" t="n">
        <f aca="false">MAX(0,G26-D26*G26*H26/Parametros!$C$6)</f>
        <v>42670756.5873881</v>
      </c>
      <c r="H27" s="36" t="n">
        <f aca="false">MAX(0,H26+D26*G26*H26/Parametros!$C$6-Parametros!$C$18*H26)</f>
        <v>481782.65214791</v>
      </c>
      <c r="I27" s="36" t="n">
        <f aca="false">I26+Parametros!$C$18*(1-F26)*H26</f>
        <v>2343638.05190123</v>
      </c>
      <c r="J27" s="36" t="n">
        <f aca="false">J26+Parametros!$C$18*F26*H26</f>
        <v>14146.7085627841</v>
      </c>
      <c r="K27" s="36" t="n">
        <f aca="false">MAX(0,G26-G27)</f>
        <v>340312.936895236</v>
      </c>
      <c r="L27" s="36" t="n">
        <f aca="false">J27-J26</f>
        <v>1980.57601353746</v>
      </c>
      <c r="M27" s="36" t="n">
        <f aca="false">IF(B27&lt;=Parametros!$C$14,0,INDEX($L$8:$L$125,B27-Parametros!$C$14))</f>
        <v>1798.49073917528</v>
      </c>
      <c r="N27" s="37" t="n">
        <f aca="false">D27/Parametros!$C$18*G27/Parametros!$C$6</f>
        <v>1.0227942920044</v>
      </c>
    </row>
    <row r="28" customFormat="false" ht="15" hidden="false" customHeight="false" outlineLevel="0" collapsed="false">
      <c r="B28" s="31" t="n">
        <f aca="false">Datos_OWID!B26</f>
        <v>21</v>
      </c>
      <c r="C28" s="32" t="n">
        <f aca="false">Datos_OWID!C26</f>
        <v>44038</v>
      </c>
      <c r="D28" s="33" t="n">
        <f aca="false">IFERROR(INDEX(Tramos_Beta!$G$6:$G$14,MATCH(B28,Tramos_Beta!$E$6:$E$14,1)),INDEX(Tramos_Beta!$G$6:$G$14,1))</f>
        <v>0.7636</v>
      </c>
      <c r="E28" s="34" t="n">
        <f aca="false">Datos_OWID!I26/Parametros!$C$6</f>
        <v>0</v>
      </c>
      <c r="F28" s="35" t="n">
        <f aca="false">Parametros!$C$13*(1-E28*Parametros!$C$15)</f>
        <v>0.006</v>
      </c>
      <c r="G28" s="36" t="n">
        <f aca="false">MAX(0,G27-D27*G27*H27/Parametros!$C$6)</f>
        <v>42325821.4047655</v>
      </c>
      <c r="H28" s="36" t="n">
        <f aca="false">MAX(0,H27+D27*G27*H27/Parametros!$C$6-Parametros!$C$18*H27)</f>
        <v>489469.978266909</v>
      </c>
      <c r="I28" s="36" t="n">
        <f aca="false">I27+Parametros!$C$18*(1-F27)*H27</f>
        <v>2678862.42126575</v>
      </c>
      <c r="J28" s="36" t="n">
        <f aca="false">J27+Parametros!$C$18*F27*H27</f>
        <v>16170.1957018053</v>
      </c>
      <c r="K28" s="36" t="n">
        <f aca="false">MAX(0,G27-G28)</f>
        <v>344935.182622537</v>
      </c>
      <c r="L28" s="36" t="n">
        <f aca="false">J28-J27</f>
        <v>2023.48713902122</v>
      </c>
      <c r="M28" s="36" t="n">
        <f aca="false">IF(B28&lt;=Parametros!$C$14,0,INDEX($L$8:$L$125,B28-Parametros!$C$14))</f>
        <v>1866.89624707377</v>
      </c>
      <c r="N28" s="37" t="n">
        <f aca="false">D28/Parametros!$C$18*G28/Parametros!$C$6</f>
        <v>1.01452638761008</v>
      </c>
    </row>
    <row r="29" customFormat="false" ht="15" hidden="false" customHeight="false" outlineLevel="0" collapsed="false">
      <c r="B29" s="31" t="n">
        <f aca="false">Datos_OWID!B27</f>
        <v>22</v>
      </c>
      <c r="C29" s="32" t="n">
        <f aca="false">Datos_OWID!C27</f>
        <v>44045</v>
      </c>
      <c r="D29" s="33" t="n">
        <f aca="false">IFERROR(INDEX(Tramos_Beta!$G$6:$G$14,MATCH(B29,Tramos_Beta!$E$6:$E$14,1)),INDEX(Tramos_Beta!$G$6:$G$14,1))</f>
        <v>0.7636</v>
      </c>
      <c r="E29" s="34" t="n">
        <f aca="false">Datos_OWID!I27/Parametros!$C$6</f>
        <v>0</v>
      </c>
      <c r="F29" s="35" t="n">
        <f aca="false">Parametros!$C$13*(1-E29*Parametros!$C$15)</f>
        <v>0.006</v>
      </c>
      <c r="G29" s="36" t="n">
        <f aca="false">MAX(0,G28-D28*G28*H28/Parametros!$C$6)</f>
        <v>41978215.2585392</v>
      </c>
      <c r="H29" s="36" t="n">
        <f aca="false">MAX(0,H28+D28*G28*H28/Parametros!$C$6-Parametros!$C$18*H28)</f>
        <v>494447.13970637</v>
      </c>
      <c r="I29" s="36" t="n">
        <f aca="false">I28+Parametros!$C$18*(1-F28)*H28</f>
        <v>3019435.63214387</v>
      </c>
      <c r="J29" s="36" t="n">
        <f aca="false">J28+Parametros!$C$18*F28*H28</f>
        <v>18225.9696105264</v>
      </c>
      <c r="K29" s="36" t="n">
        <f aca="false">MAX(0,G28-G29)</f>
        <v>347606.146226294</v>
      </c>
      <c r="L29" s="36" t="n">
        <f aca="false">J29-J28</f>
        <v>2055.77390872102</v>
      </c>
      <c r="M29" s="36" t="n">
        <f aca="false">IF(B29&lt;=Parametros!$C$14,0,INDEX($L$8:$L$125,B29-Parametros!$C$14))</f>
        <v>1928.00408340981</v>
      </c>
      <c r="N29" s="37" t="n">
        <f aca="false">D29/Parametros!$C$18*G29/Parametros!$C$6</f>
        <v>1.00619446170439</v>
      </c>
    </row>
    <row r="30" customFormat="false" ht="15" hidden="false" customHeight="false" outlineLevel="0" collapsed="false">
      <c r="B30" s="31" t="n">
        <f aca="false">Datos_OWID!B28</f>
        <v>23</v>
      </c>
      <c r="C30" s="32" t="n">
        <f aca="false">Datos_OWID!C28</f>
        <v>44052</v>
      </c>
      <c r="D30" s="33" t="n">
        <f aca="false">IFERROR(INDEX(Tramos_Beta!$G$6:$G$14,MATCH(B30,Tramos_Beta!$E$6:$E$14,1)),INDEX(Tramos_Beta!$G$6:$G$14,1))</f>
        <v>0.7636</v>
      </c>
      <c r="E30" s="34" t="n">
        <f aca="false">Datos_OWID!I28/Parametros!$C$6</f>
        <v>0</v>
      </c>
      <c r="F30" s="35" t="n">
        <f aca="false">Parametros!$C$13*(1-E30*Parametros!$C$15)</f>
        <v>0.006</v>
      </c>
      <c r="G30" s="36" t="n">
        <f aca="false">MAX(0,G29-D29*G29*H29/Parametros!$C$6)</f>
        <v>41629958.2770345</v>
      </c>
      <c r="H30" s="36" t="n">
        <f aca="false">MAX(0,H29+D29*G29*H29/Parametros!$C$6-Parametros!$C$18*H29)</f>
        <v>496591.123416598</v>
      </c>
      <c r="I30" s="36" t="n">
        <f aca="false">I29+Parametros!$C$18*(1-F29)*H29</f>
        <v>3363471.95195156</v>
      </c>
      <c r="J30" s="36" t="n">
        <f aca="false">J29+Parametros!$C$18*F29*H29</f>
        <v>20302.6475972931</v>
      </c>
      <c r="K30" s="36" t="n">
        <f aca="false">MAX(0,G29-G30)</f>
        <v>348256.981504686</v>
      </c>
      <c r="L30" s="36" t="n">
        <f aca="false">J30-J29</f>
        <v>2076.67798676675</v>
      </c>
      <c r="M30" s="36" t="n">
        <f aca="false">IF(B30&lt;=Parametros!$C$14,0,INDEX($L$8:$L$125,B30-Parametros!$C$14))</f>
        <v>1980.57601353746</v>
      </c>
      <c r="N30" s="37" t="n">
        <f aca="false">D30/Parametros!$C$18*G30/Parametros!$C$6</f>
        <v>0.997846935639218</v>
      </c>
    </row>
    <row r="31" customFormat="false" ht="15" hidden="false" customHeight="false" outlineLevel="0" collapsed="false">
      <c r="B31" s="31" t="n">
        <f aca="false">Datos_OWID!B29</f>
        <v>24</v>
      </c>
      <c r="C31" s="32" t="n">
        <f aca="false">Datos_OWID!C29</f>
        <v>44059</v>
      </c>
      <c r="D31" s="33" t="n">
        <f aca="false">IFERROR(INDEX(Tramos_Beta!$G$6:$G$14,MATCH(B31,Tramos_Beta!$E$6:$E$14,1)),INDEX(Tramos_Beta!$G$6:$G$14,1))</f>
        <v>0.7636</v>
      </c>
      <c r="E31" s="34" t="n">
        <f aca="false">Datos_OWID!I29/Parametros!$C$6</f>
        <v>0</v>
      </c>
      <c r="F31" s="35" t="n">
        <f aca="false">Parametros!$C$13*(1-E31*Parametros!$C$15)</f>
        <v>0.006</v>
      </c>
      <c r="G31" s="36" t="n">
        <f aca="false">MAX(0,G30-D30*G30*H30/Parametros!$C$6)</f>
        <v>41283092.9254977</v>
      </c>
      <c r="H31" s="36" t="n">
        <f aca="false">MAX(0,H30+D30*G30*H30/Parametros!$C$6-Parametros!$C$18*H30)</f>
        <v>495842.688561801</v>
      </c>
      <c r="I31" s="36" t="n">
        <f aca="false">I30+Parametros!$C$18*(1-F30)*H30</f>
        <v>3709000.05562483</v>
      </c>
      <c r="J31" s="36" t="n">
        <f aca="false">J30+Parametros!$C$18*F30*H30</f>
        <v>22388.3303156428</v>
      </c>
      <c r="K31" s="36" t="n">
        <f aca="false">MAX(0,G30-G31)</f>
        <v>346865.351536825</v>
      </c>
      <c r="L31" s="36" t="n">
        <f aca="false">J31-J30</f>
        <v>2085.68271834971</v>
      </c>
      <c r="M31" s="36" t="n">
        <f aca="false">IF(B31&lt;=Parametros!$C$14,0,INDEX($L$8:$L$125,B31-Parametros!$C$14))</f>
        <v>2023.48713902122</v>
      </c>
      <c r="N31" s="37" t="n">
        <f aca="false">D31/Parametros!$C$18*G31/Parametros!$C$6</f>
        <v>0.989532766170031</v>
      </c>
    </row>
    <row r="32" customFormat="false" ht="15" hidden="false" customHeight="false" outlineLevel="0" collapsed="false">
      <c r="B32" s="31" t="n">
        <f aca="false">Datos_OWID!B30</f>
        <v>25</v>
      </c>
      <c r="C32" s="32" t="n">
        <f aca="false">Datos_OWID!C30</f>
        <v>44066</v>
      </c>
      <c r="D32" s="33" t="n">
        <f aca="false">IFERROR(INDEX(Tramos_Beta!$G$6:$G$14,MATCH(B32,Tramos_Beta!$E$6:$E$14,1)),INDEX(Tramos_Beta!$G$6:$G$14,1))</f>
        <v>0.7636</v>
      </c>
      <c r="E32" s="34" t="n">
        <f aca="false">Datos_OWID!I30/Parametros!$C$6</f>
        <v>0</v>
      </c>
      <c r="F32" s="35" t="n">
        <f aca="false">Parametros!$C$13*(1-E32*Parametros!$C$15)</f>
        <v>0.006</v>
      </c>
      <c r="G32" s="36" t="n">
        <f aca="false">MAX(0,G31-D31*G31*H31/Parametros!$C$6)</f>
        <v>40939636.1144593</v>
      </c>
      <c r="H32" s="36" t="n">
        <f aca="false">MAX(0,H31+D31*G31*H31/Parametros!$C$6-Parametros!$C$18*H31)</f>
        <v>492209.617606962</v>
      </c>
      <c r="I32" s="36" t="n">
        <f aca="false">I31+Parametros!$C$18*(1-F31)*H31</f>
        <v>4054007.39832613</v>
      </c>
      <c r="J32" s="36" t="n">
        <f aca="false">J31+Parametros!$C$18*F31*H31</f>
        <v>24470.8696076024</v>
      </c>
      <c r="K32" s="36" t="n">
        <f aca="false">MAX(0,G31-G32)</f>
        <v>343456.81103842</v>
      </c>
      <c r="L32" s="36" t="n">
        <f aca="false">J32-J31</f>
        <v>2082.53929195957</v>
      </c>
      <c r="M32" s="36" t="n">
        <f aca="false">IF(B32&lt;=Parametros!$C$14,0,INDEX($L$8:$L$125,B32-Parametros!$C$14))</f>
        <v>2055.77390872102</v>
      </c>
      <c r="N32" s="37" t="n">
        <f aca="false">D32/Parametros!$C$18*G32/Parametros!$C$6</f>
        <v>0.981300297519969</v>
      </c>
    </row>
    <row r="33" customFormat="false" ht="15" hidden="false" customHeight="false" outlineLevel="0" collapsed="false">
      <c r="B33" s="31" t="n">
        <f aca="false">Datos_OWID!B31</f>
        <v>26</v>
      </c>
      <c r="C33" s="32" t="n">
        <f aca="false">Datos_OWID!C31</f>
        <v>44073</v>
      </c>
      <c r="D33" s="33" t="n">
        <f aca="false">IFERROR(INDEX(Tramos_Beta!$G$6:$G$14,MATCH(B33,Tramos_Beta!$E$6:$E$14,1)),INDEX(Tramos_Beta!$G$6:$G$14,1))</f>
        <v>0.7636</v>
      </c>
      <c r="E33" s="34" t="n">
        <f aca="false">Datos_OWID!I31/Parametros!$C$6</f>
        <v>0</v>
      </c>
      <c r="F33" s="35" t="n">
        <f aca="false">Parametros!$C$13*(1-E33*Parametros!$C$15)</f>
        <v>0.006</v>
      </c>
      <c r="G33" s="36" t="n">
        <f aca="false">MAX(0,G32-D32*G32*H32/Parametros!$C$6)</f>
        <v>40601532.3035194</v>
      </c>
      <c r="H33" s="36" t="n">
        <f aca="false">MAX(0,H32+D32*G32*H32/Parametros!$C$6-Parametros!$C$18*H32)</f>
        <v>485766.69622202</v>
      </c>
      <c r="I33" s="36" t="n">
        <f aca="false">I32+Parametros!$C$18*(1-F32)*H32</f>
        <v>4396486.85025705</v>
      </c>
      <c r="J33" s="36" t="n">
        <f aca="false">J32+Parametros!$C$18*F32*H32</f>
        <v>26538.1500015516</v>
      </c>
      <c r="K33" s="36" t="n">
        <f aca="false">MAX(0,G32-G33)</f>
        <v>338103.81093993</v>
      </c>
      <c r="L33" s="36" t="n">
        <f aca="false">J33-J32</f>
        <v>2067.28039394924</v>
      </c>
      <c r="M33" s="36" t="n">
        <f aca="false">IF(B33&lt;=Parametros!$C$14,0,INDEX($L$8:$L$125,B33-Parametros!$C$14))</f>
        <v>2076.67798676675</v>
      </c>
      <c r="N33" s="37" t="n">
        <f aca="false">D33/Parametros!$C$18*G33/Parametros!$C$6</f>
        <v>0.973196137303684</v>
      </c>
    </row>
    <row r="34" customFormat="false" ht="15" hidden="false" customHeight="false" outlineLevel="0" collapsed="false">
      <c r="B34" s="31" t="n">
        <f aca="false">Datos_OWID!B32</f>
        <v>27</v>
      </c>
      <c r="C34" s="32" t="n">
        <f aca="false">Datos_OWID!C32</f>
        <v>44080</v>
      </c>
      <c r="D34" s="33" t="n">
        <f aca="false">IFERROR(INDEX(Tramos_Beta!$G$6:$G$14,MATCH(B34,Tramos_Beta!$E$6:$E$14,1)),INDEX(Tramos_Beta!$G$6:$G$14,1))</f>
        <v>0.7636</v>
      </c>
      <c r="E34" s="34" t="n">
        <f aca="false">Datos_OWID!I32/Parametros!$C$6</f>
        <v>0</v>
      </c>
      <c r="F34" s="35" t="n">
        <f aca="false">Parametros!$C$13*(1-E34*Parametros!$C$15)</f>
        <v>0.006</v>
      </c>
      <c r="G34" s="36" t="n">
        <f aca="false">MAX(0,G33-D33*G33*H33/Parametros!$C$6)</f>
        <v>40270609.9128435</v>
      </c>
      <c r="H34" s="36" t="n">
        <f aca="false">MAX(0,H33+D33*G33*H33/Parametros!$C$6-Parametros!$C$18*H33)</f>
        <v>476652.399542435</v>
      </c>
      <c r="I34" s="36" t="n">
        <f aca="false">I33+Parametros!$C$18*(1-F33)*H33</f>
        <v>4734483.31748833</v>
      </c>
      <c r="J34" s="36" t="n">
        <f aca="false">J33+Parametros!$C$18*F33*H33</f>
        <v>28578.3701256841</v>
      </c>
      <c r="K34" s="36" t="n">
        <f aca="false">MAX(0,G33-G34)</f>
        <v>330922.390675828</v>
      </c>
      <c r="L34" s="36" t="n">
        <f aca="false">J34-J33</f>
        <v>2040.22012413248</v>
      </c>
      <c r="M34" s="36" t="n">
        <f aca="false">IF(B34&lt;=Parametros!$C$14,0,INDEX($L$8:$L$125,B34-Parametros!$C$14))</f>
        <v>2085.68271834971</v>
      </c>
      <c r="N34" s="37" t="n">
        <f aca="false">D34/Parametros!$C$18*G34/Parametros!$C$6</f>
        <v>0.965264111735154</v>
      </c>
    </row>
    <row r="35" customFormat="false" ht="15" hidden="false" customHeight="false" outlineLevel="0" collapsed="false">
      <c r="B35" s="31" t="n">
        <f aca="false">Datos_OWID!B33</f>
        <v>28</v>
      </c>
      <c r="C35" s="32" t="n">
        <f aca="false">Datos_OWID!C33</f>
        <v>44087</v>
      </c>
      <c r="D35" s="33" t="n">
        <f aca="false">IFERROR(INDEX(Tramos_Beta!$G$6:$G$14,MATCH(B35,Tramos_Beta!$E$6:$E$14,1)),INDEX(Tramos_Beta!$G$6:$G$14,1))</f>
        <v>0.7636</v>
      </c>
      <c r="E35" s="34" t="n">
        <f aca="false">Datos_OWID!I33/Parametros!$C$6</f>
        <v>0</v>
      </c>
      <c r="F35" s="35" t="n">
        <f aca="false">Parametros!$C$13*(1-E35*Parametros!$C$15)</f>
        <v>0.006</v>
      </c>
      <c r="G35" s="36" t="n">
        <f aca="false">MAX(0,G34-D34*G34*H34/Parametros!$C$6)</f>
        <v>39948543.094308</v>
      </c>
      <c r="H35" s="36" t="n">
        <f aca="false">MAX(0,H34+D34*G34*H34/Parametros!$C$6-Parametros!$C$18*H34)</f>
        <v>465062.538398261</v>
      </c>
      <c r="I35" s="36" t="n">
        <f aca="false">I34+Parametros!$C$18*(1-F34)*H34</f>
        <v>5066138.05708996</v>
      </c>
      <c r="J35" s="36" t="n">
        <f aca="false">J34+Parametros!$C$18*F34*H34</f>
        <v>30580.3102037623</v>
      </c>
      <c r="K35" s="36" t="n">
        <f aca="false">MAX(0,G34-G35)</f>
        <v>322066.818535529</v>
      </c>
      <c r="L35" s="36" t="n">
        <f aca="false">J35-J34</f>
        <v>2001.94007807823</v>
      </c>
      <c r="M35" s="36" t="n">
        <f aca="false">IF(B35&lt;=Parametros!$C$14,0,INDEX($L$8:$L$125,B35-Parametros!$C$14))</f>
        <v>2082.53929195957</v>
      </c>
      <c r="N35" s="37" t="n">
        <f aca="false">D35/Parametros!$C$18*G35/Parametros!$C$6</f>
        <v>0.957544349303298</v>
      </c>
    </row>
    <row r="36" customFormat="false" ht="15" hidden="false" customHeight="false" outlineLevel="0" collapsed="false">
      <c r="B36" s="31" t="n">
        <f aca="false">Datos_OWID!B34</f>
        <v>29</v>
      </c>
      <c r="C36" s="32" t="n">
        <f aca="false">Datos_OWID!C34</f>
        <v>44094</v>
      </c>
      <c r="D36" s="33" t="n">
        <f aca="false">IFERROR(INDEX(Tramos_Beta!$G$6:$G$14,MATCH(B36,Tramos_Beta!$E$6:$E$14,1)),INDEX(Tramos_Beta!$G$6:$G$14,1))</f>
        <v>0.7636</v>
      </c>
      <c r="E36" s="34" t="n">
        <f aca="false">Datos_OWID!I34/Parametros!$C$6</f>
        <v>0</v>
      </c>
      <c r="F36" s="35" t="n">
        <f aca="false">Parametros!$C$13*(1-E36*Parametros!$C$15)</f>
        <v>0.006</v>
      </c>
      <c r="G36" s="36" t="n">
        <f aca="false">MAX(0,G35-D35*G35*H35/Parametros!$C$6)</f>
        <v>39636820.4903069</v>
      </c>
      <c r="H36" s="36" t="n">
        <f aca="false">MAX(0,H35+D35*G35*H35/Parametros!$C$6-Parametros!$C$18*H35)</f>
        <v>451241.365520611</v>
      </c>
      <c r="I36" s="36" t="n">
        <f aca="false">I35+Parametros!$C$18*(1-F35)*H35</f>
        <v>5389728.57130747</v>
      </c>
      <c r="J36" s="36" t="n">
        <f aca="false">J35+Parametros!$C$18*F35*H35</f>
        <v>32533.572865035</v>
      </c>
      <c r="K36" s="36" t="n">
        <f aca="false">MAX(0,G35-G36)</f>
        <v>311722.604001135</v>
      </c>
      <c r="L36" s="36" t="n">
        <f aca="false">J36-J35</f>
        <v>1953.2626612727</v>
      </c>
      <c r="M36" s="36" t="n">
        <f aca="false">IF(B36&lt;=Parametros!$C$14,0,INDEX($L$8:$L$125,B36-Parametros!$C$14))</f>
        <v>2067.28039394924</v>
      </c>
      <c r="N36" s="37" t="n">
        <f aca="false">D36/Parametros!$C$18*G36/Parametros!$C$6</f>
        <v>0.950072531937976</v>
      </c>
    </row>
    <row r="37" customFormat="false" ht="15" hidden="false" customHeight="false" outlineLevel="0" collapsed="false">
      <c r="B37" s="31" t="n">
        <f aca="false">Datos_OWID!B35</f>
        <v>30</v>
      </c>
      <c r="C37" s="32" t="n">
        <f aca="false">Datos_OWID!C35</f>
        <v>44101</v>
      </c>
      <c r="D37" s="33" t="n">
        <f aca="false">IFERROR(INDEX(Tramos_Beta!$G$6:$G$14,MATCH(B37,Tramos_Beta!$E$6:$E$14,1)),INDEX(Tramos_Beta!$G$6:$G$14,1))</f>
        <v>0.7636</v>
      </c>
      <c r="E37" s="34" t="n">
        <f aca="false">Datos_OWID!I35/Parametros!$C$6</f>
        <v>0</v>
      </c>
      <c r="F37" s="35" t="n">
        <f aca="false">Parametros!$C$13*(1-E37*Parametros!$C$15)</f>
        <v>0.006</v>
      </c>
      <c r="G37" s="36" t="n">
        <f aca="false">MAX(0,G36-D36*G36*H36/Parametros!$C$6)</f>
        <v>39336722.0716482</v>
      </c>
      <c r="H37" s="36" t="n">
        <f aca="false">MAX(0,H36+D36*G36*H36/Parametros!$C$6-Parametros!$C$18*H36)</f>
        <v>435470.828314904</v>
      </c>
      <c r="I37" s="36" t="n">
        <f aca="false">I36+Parametros!$C$18*(1-F36)*H36</f>
        <v>5703702.31343671</v>
      </c>
      <c r="J37" s="36" t="n">
        <f aca="false">J36+Parametros!$C$18*F36*H36</f>
        <v>34428.7866002216</v>
      </c>
      <c r="K37" s="36" t="n">
        <f aca="false">MAX(0,G36-G37)</f>
        <v>300098.418658718</v>
      </c>
      <c r="L37" s="36" t="n">
        <f aca="false">J37-J36</f>
        <v>1895.21373518656</v>
      </c>
      <c r="M37" s="36" t="n">
        <f aca="false">IF(B37&lt;=Parametros!$C$14,0,INDEX($L$8:$L$125,B37-Parametros!$C$14))</f>
        <v>2040.22012413248</v>
      </c>
      <c r="N37" s="37" t="n">
        <f aca="false">D37/Parametros!$C$18*G37/Parametros!$C$6</f>
        <v>0.942879339827236</v>
      </c>
    </row>
    <row r="38" customFormat="false" ht="15" hidden="false" customHeight="false" outlineLevel="0" collapsed="false">
      <c r="B38" s="31" t="n">
        <f aca="false">Datos_OWID!B36</f>
        <v>31</v>
      </c>
      <c r="C38" s="32" t="n">
        <f aca="false">Datos_OWID!C36</f>
        <v>44108</v>
      </c>
      <c r="D38" s="33" t="n">
        <f aca="false">IFERROR(INDEX(Tramos_Beta!$G$6:$G$14,MATCH(B38,Tramos_Beta!$E$6:$E$14,1)),INDEX(Tramos_Beta!$G$6:$G$14,1))</f>
        <v>0.7636</v>
      </c>
      <c r="E38" s="34" t="n">
        <f aca="false">Datos_OWID!I36/Parametros!$C$6</f>
        <v>0</v>
      </c>
      <c r="F38" s="35" t="n">
        <f aca="false">Parametros!$C$13*(1-E38*Parametros!$C$15)</f>
        <v>0.006</v>
      </c>
      <c r="G38" s="36" t="n">
        <f aca="false">MAX(0,G37-D37*G37*H37/Parametros!$C$6)</f>
        <v>39049304.5586673</v>
      </c>
      <c r="H38" s="36" t="n">
        <f aca="false">MAX(0,H37+D37*G37*H37/Parametros!$C$6-Parametros!$C$18*H37)</f>
        <v>418058.761475375</v>
      </c>
      <c r="I38" s="36" t="n">
        <f aca="false">I37+Parametros!$C$18*(1-F37)*H37</f>
        <v>6006702.91577822</v>
      </c>
      <c r="J38" s="36" t="n">
        <f aca="false">J37+Parametros!$C$18*F37*H37</f>
        <v>36257.7640791442</v>
      </c>
      <c r="K38" s="36" t="n">
        <f aca="false">MAX(0,G37-G38)</f>
        <v>287417.512980901</v>
      </c>
      <c r="L38" s="36" t="n">
        <f aca="false">J38-J37</f>
        <v>1828.9774789226</v>
      </c>
      <c r="M38" s="36" t="n">
        <f aca="false">IF(B38&lt;=Parametros!$C$14,0,INDEX($L$8:$L$125,B38-Parametros!$C$14))</f>
        <v>2001.94007807823</v>
      </c>
      <c r="N38" s="37" t="n">
        <f aca="false">D38/Parametros!$C$18*G38/Parametros!$C$6</f>
        <v>0.935990101969526</v>
      </c>
    </row>
    <row r="39" customFormat="false" ht="15" hidden="false" customHeight="false" outlineLevel="0" collapsed="false">
      <c r="B39" s="31" t="n">
        <f aca="false">Datos_OWID!B37</f>
        <v>32</v>
      </c>
      <c r="C39" s="32" t="n">
        <f aca="false">Datos_OWID!C37</f>
        <v>44115</v>
      </c>
      <c r="D39" s="33" t="n">
        <f aca="false">IFERROR(INDEX(Tramos_Beta!$G$6:$G$14,MATCH(B39,Tramos_Beta!$E$6:$E$14,1)),INDEX(Tramos_Beta!$G$6:$G$14,1))</f>
        <v>0.7636</v>
      </c>
      <c r="E39" s="34" t="n">
        <f aca="false">Datos_OWID!I37/Parametros!$C$6</f>
        <v>0</v>
      </c>
      <c r="F39" s="35" t="n">
        <f aca="false">Parametros!$C$13*(1-E39*Parametros!$C$15)</f>
        <v>0.006</v>
      </c>
      <c r="G39" s="36" t="n">
        <f aca="false">MAX(0,G38-D38*G38*H38/Parametros!$C$6)</f>
        <v>38775395.3547194</v>
      </c>
      <c r="H39" s="36" t="n">
        <f aca="false">MAX(0,H38+D38*G38*H38/Parametros!$C$6-Parametros!$C$18*H38)</f>
        <v>399326.832390425</v>
      </c>
      <c r="I39" s="36" t="n">
        <f aca="false">I38+Parametros!$C$18*(1-F38)*H38</f>
        <v>6297588.20201279</v>
      </c>
      <c r="J39" s="36" t="n">
        <f aca="false">J38+Parametros!$C$18*F38*H38</f>
        <v>38013.6108773408</v>
      </c>
      <c r="K39" s="36" t="n">
        <f aca="false">MAX(0,G38-G39)</f>
        <v>273909.203947812</v>
      </c>
      <c r="L39" s="36" t="n">
        <f aca="false">J39-J38</f>
        <v>1755.84679819657</v>
      </c>
      <c r="M39" s="36" t="n">
        <f aca="false">IF(B39&lt;=Parametros!$C$14,0,INDEX($L$8:$L$125,B39-Parametros!$C$14))</f>
        <v>1953.2626612727</v>
      </c>
      <c r="N39" s="37" t="n">
        <f aca="false">D39/Parametros!$C$18*G39/Parametros!$C$6</f>
        <v>0.929424650762877</v>
      </c>
    </row>
    <row r="40" customFormat="false" ht="15" hidden="false" customHeight="false" outlineLevel="0" collapsed="false">
      <c r="B40" s="31" t="n">
        <f aca="false">Datos_OWID!B38</f>
        <v>33</v>
      </c>
      <c r="C40" s="32" t="n">
        <f aca="false">Datos_OWID!C38</f>
        <v>44122</v>
      </c>
      <c r="D40" s="33" t="n">
        <f aca="false">IFERROR(INDEX(Tramos_Beta!$G$6:$G$14,MATCH(B40,Tramos_Beta!$E$6:$E$14,1)),INDEX(Tramos_Beta!$G$6:$G$14,1))</f>
        <v>0.7636</v>
      </c>
      <c r="E40" s="34" t="n">
        <f aca="false">Datos_OWID!I38/Parametros!$C$6</f>
        <v>0</v>
      </c>
      <c r="F40" s="35" t="n">
        <f aca="false">Parametros!$C$13*(1-E40*Parametros!$C$15)</f>
        <v>0.006</v>
      </c>
      <c r="G40" s="36" t="n">
        <f aca="false">MAX(0,G39-D39*G39*H39/Parametros!$C$6)</f>
        <v>38515594.4135051</v>
      </c>
      <c r="H40" s="36" t="n">
        <f aca="false">MAX(0,H39+D39*G39*H39/Parametros!$C$6-Parametros!$C$18*H39)</f>
        <v>379598.99093143</v>
      </c>
      <c r="I40" s="36" t="n">
        <f aca="false">I39+Parametros!$C$18*(1-F39)*H39</f>
        <v>6575439.81199004</v>
      </c>
      <c r="J40" s="36" t="n">
        <f aca="false">J39+Parametros!$C$18*F39*H39</f>
        <v>39690.7835733805</v>
      </c>
      <c r="K40" s="36" t="n">
        <f aca="false">MAX(0,G39-G40)</f>
        <v>259800.941214301</v>
      </c>
      <c r="L40" s="36" t="n">
        <f aca="false">J40-J39</f>
        <v>1677.17269603979</v>
      </c>
      <c r="M40" s="36" t="n">
        <f aca="false">IF(B40&lt;=Parametros!$C$14,0,INDEX($L$8:$L$125,B40-Parametros!$C$14))</f>
        <v>1895.21373518656</v>
      </c>
      <c r="N40" s="37" t="n">
        <f aca="false">D40/Parametros!$C$18*G40/Parametros!$C$6</f>
        <v>0.923197366763655</v>
      </c>
    </row>
    <row r="41" customFormat="false" ht="15" hidden="false" customHeight="false" outlineLevel="0" collapsed="false">
      <c r="B41" s="31" t="n">
        <f aca="false">Datos_OWID!B39</f>
        <v>34</v>
      </c>
      <c r="C41" s="32" t="n">
        <f aca="false">Datos_OWID!C39</f>
        <v>44129</v>
      </c>
      <c r="D41" s="33" t="n">
        <f aca="false">IFERROR(INDEX(Tramos_Beta!$G$6:$G$14,MATCH(B41,Tramos_Beta!$E$6:$E$14,1)),INDEX(Tramos_Beta!$G$6:$G$14,1))</f>
        <v>0.7636</v>
      </c>
      <c r="E41" s="34" t="n">
        <f aca="false">Datos_OWID!I39/Parametros!$C$6</f>
        <v>0</v>
      </c>
      <c r="F41" s="35" t="n">
        <f aca="false">Parametros!$C$13*(1-E41*Parametros!$C$15)</f>
        <v>0.006</v>
      </c>
      <c r="G41" s="36" t="n">
        <f aca="false">MAX(0,G40-D40*G40*H40/Parametros!$C$6)</f>
        <v>38270283.0613073</v>
      </c>
      <c r="H41" s="36" t="n">
        <f aca="false">MAX(0,H40+D40*G40*H40/Parametros!$C$6-Parametros!$C$18*H40)</f>
        <v>359191.049477254</v>
      </c>
      <c r="I41" s="36" t="n">
        <f aca="false">I40+Parametros!$C$18*(1-F40)*H40</f>
        <v>6839564.78988013</v>
      </c>
      <c r="J41" s="36" t="n">
        <f aca="false">J40+Parametros!$C$18*F40*H40</f>
        <v>41285.0993352925</v>
      </c>
      <c r="K41" s="36" t="n">
        <f aca="false">MAX(0,G40-G41)</f>
        <v>245311.352197826</v>
      </c>
      <c r="L41" s="36" t="n">
        <f aca="false">J41-J40</f>
        <v>1594.315761912</v>
      </c>
      <c r="M41" s="36" t="n">
        <f aca="false">IF(B41&lt;=Parametros!$C$14,0,INDEX($L$8:$L$125,B41-Parametros!$C$14))</f>
        <v>1828.9774789226</v>
      </c>
      <c r="N41" s="37" t="n">
        <f aca="false">D41/Parametros!$C$18*G41/Parametros!$C$6</f>
        <v>0.917317390150679</v>
      </c>
    </row>
    <row r="42" customFormat="false" ht="15" hidden="false" customHeight="false" outlineLevel="0" collapsed="false">
      <c r="B42" s="31" t="n">
        <f aca="false">Datos_OWID!B40</f>
        <v>35</v>
      </c>
      <c r="C42" s="32" t="n">
        <f aca="false">Datos_OWID!C40</f>
        <v>44136</v>
      </c>
      <c r="D42" s="33" t="n">
        <f aca="false">IFERROR(INDEX(Tramos_Beta!$G$6:$G$14,MATCH(B42,Tramos_Beta!$E$6:$E$14,1)),INDEX(Tramos_Beta!$G$6:$G$14,1))</f>
        <v>0.734</v>
      </c>
      <c r="E42" s="34" t="n">
        <f aca="false">Datos_OWID!I40/Parametros!$C$6</f>
        <v>0</v>
      </c>
      <c r="F42" s="35" t="n">
        <f aca="false">Parametros!$C$13*(1-E42*Parametros!$C$15)</f>
        <v>0.006</v>
      </c>
      <c r="G42" s="36" t="n">
        <f aca="false">MAX(0,G41-D41*G41*H41/Parametros!$C$6)</f>
        <v>38039638.524057</v>
      </c>
      <c r="H42" s="36" t="n">
        <f aca="false">MAX(0,H41+D41*G41*H41/Parametros!$C$6-Parametros!$C$18*H41)</f>
        <v>338401.852093547</v>
      </c>
      <c r="I42" s="36" t="n">
        <f aca="false">I41+Parametros!$C$18*(1-F41)*H41</f>
        <v>7089489.92210641</v>
      </c>
      <c r="J42" s="36" t="n">
        <f aca="false">J41+Parametros!$C$18*F41*H41</f>
        <v>42793.701743097</v>
      </c>
      <c r="K42" s="36" t="n">
        <f aca="false">MAX(0,G41-G42)</f>
        <v>230644.53725037</v>
      </c>
      <c r="L42" s="36" t="n">
        <f aca="false">J42-J41</f>
        <v>1508.60240780446</v>
      </c>
      <c r="M42" s="36" t="n">
        <f aca="false">IF(B42&lt;=Parametros!$C$14,0,INDEX($L$8:$L$125,B42-Parametros!$C$14))</f>
        <v>1755.84679819657</v>
      </c>
      <c r="N42" s="37" t="n">
        <f aca="false">D42/Parametros!$C$18*G42/Parametros!$C$6</f>
        <v>0.876444608689474</v>
      </c>
    </row>
    <row r="43" customFormat="false" ht="15" hidden="false" customHeight="false" outlineLevel="0" collapsed="false">
      <c r="B43" s="31" t="n">
        <f aca="false">Datos_OWID!B41</f>
        <v>36</v>
      </c>
      <c r="C43" s="32" t="n">
        <f aca="false">Datos_OWID!C41</f>
        <v>44143</v>
      </c>
      <c r="D43" s="33" t="n">
        <f aca="false">IFERROR(INDEX(Tramos_Beta!$G$6:$G$14,MATCH(B43,Tramos_Beta!$E$6:$E$14,1)),INDEX(Tramos_Beta!$G$6:$G$14,1))</f>
        <v>0.734</v>
      </c>
      <c r="E43" s="34" t="n">
        <f aca="false">Datos_OWID!I41/Parametros!$C$6</f>
        <v>0</v>
      </c>
      <c r="F43" s="35" t="n">
        <f aca="false">Parametros!$C$13*(1-E43*Parametros!$C$15)</f>
        <v>0.006</v>
      </c>
      <c r="G43" s="36" t="n">
        <f aca="false">MAX(0,G42-D42*G42*H42/Parametros!$C$6)</f>
        <v>37832025.1888704</v>
      </c>
      <c r="H43" s="36" t="n">
        <f aca="false">MAX(0,H42+D42*G42*H42/Parametros!$C$6-Parametros!$C$18*H42)</f>
        <v>309133.89081461</v>
      </c>
      <c r="I43" s="36" t="n">
        <f aca="false">I42+Parametros!$C$18*(1-F42)*H42</f>
        <v>7324949.9307931</v>
      </c>
      <c r="J43" s="36" t="n">
        <f aca="false">J42+Parametros!$C$18*F42*H42</f>
        <v>44214.9895218899</v>
      </c>
      <c r="K43" s="36" t="n">
        <f aca="false">MAX(0,G42-G43)</f>
        <v>207613.335186549</v>
      </c>
      <c r="L43" s="36" t="n">
        <f aca="false">J43-J42</f>
        <v>1421.2877787929</v>
      </c>
      <c r="M43" s="36" t="n">
        <f aca="false">IF(B43&lt;=Parametros!$C$14,0,INDEX($L$8:$L$125,B43-Parametros!$C$14))</f>
        <v>1677.17269603979</v>
      </c>
      <c r="N43" s="37" t="n">
        <f aca="false">D43/Parametros!$C$18*G43/Parametros!$C$6</f>
        <v>0.871661135571</v>
      </c>
    </row>
    <row r="44" customFormat="false" ht="15" hidden="false" customHeight="false" outlineLevel="0" collapsed="false">
      <c r="B44" s="31" t="n">
        <f aca="false">Datos_OWID!B42</f>
        <v>37</v>
      </c>
      <c r="C44" s="32" t="n">
        <f aca="false">Datos_OWID!C42</f>
        <v>44150</v>
      </c>
      <c r="D44" s="33" t="n">
        <f aca="false">IFERROR(INDEX(Tramos_Beta!$G$6:$G$14,MATCH(B44,Tramos_Beta!$E$6:$E$14,1)),INDEX(Tramos_Beta!$G$6:$G$14,1))</f>
        <v>0.734</v>
      </c>
      <c r="E44" s="34" t="n">
        <f aca="false">Datos_OWID!I42/Parametros!$C$6</f>
        <v>0</v>
      </c>
      <c r="F44" s="35" t="n">
        <f aca="false">Parametros!$C$13*(1-E44*Parametros!$C$15)</f>
        <v>0.006</v>
      </c>
      <c r="G44" s="36" t="n">
        <f aca="false">MAX(0,G43-D43*G43*H43/Parametros!$C$6)</f>
        <v>37643403.1900527</v>
      </c>
      <c r="H44" s="36" t="n">
        <f aca="false">MAX(0,H43+D43*G43*H43/Parametros!$C$6-Parametros!$C$18*H43)</f>
        <v>281362.166062044</v>
      </c>
      <c r="I44" s="36" t="n">
        <f aca="false">I43+Parametros!$C$18*(1-F43)*H43</f>
        <v>7540045.2920219</v>
      </c>
      <c r="J44" s="36" t="n">
        <f aca="false">J43+Parametros!$C$18*F43*H43</f>
        <v>45513.3518633113</v>
      </c>
      <c r="K44" s="36" t="n">
        <f aca="false">MAX(0,G43-G44)</f>
        <v>188621.99881766</v>
      </c>
      <c r="L44" s="36" t="n">
        <f aca="false">J44-J43</f>
        <v>1298.36234142136</v>
      </c>
      <c r="M44" s="36" t="n">
        <f aca="false">IF(B44&lt;=Parametros!$C$14,0,INDEX($L$8:$L$125,B44-Parametros!$C$14))</f>
        <v>1594.315761912</v>
      </c>
      <c r="N44" s="37" t="n">
        <f aca="false">D44/Parametros!$C$18*G44/Parametros!$C$6</f>
        <v>0.867315228502523</v>
      </c>
    </row>
    <row r="45" customFormat="false" ht="15" hidden="false" customHeight="false" outlineLevel="0" collapsed="false">
      <c r="B45" s="31" t="n">
        <f aca="false">Datos_OWID!B43</f>
        <v>38</v>
      </c>
      <c r="C45" s="32" t="n">
        <f aca="false">Datos_OWID!C43</f>
        <v>44157</v>
      </c>
      <c r="D45" s="33" t="n">
        <f aca="false">IFERROR(INDEX(Tramos_Beta!$G$6:$G$14,MATCH(B45,Tramos_Beta!$E$6:$E$14,1)),INDEX(Tramos_Beta!$G$6:$G$14,1))</f>
        <v>0.734</v>
      </c>
      <c r="E45" s="34" t="n">
        <f aca="false">Datos_OWID!I43/Parametros!$C$6</f>
        <v>0</v>
      </c>
      <c r="F45" s="35" t="n">
        <f aca="false">Parametros!$C$13*(1-E45*Parametros!$C$15)</f>
        <v>0.006</v>
      </c>
      <c r="G45" s="36" t="n">
        <f aca="false">MAX(0,G44-D44*G44*H44/Parametros!$C$6)</f>
        <v>37472582.4061077</v>
      </c>
      <c r="H45" s="36" t="n">
        <f aca="false">MAX(0,H44+D44*G44*H44/Parametros!$C$6-Parametros!$C$18*H44)</f>
        <v>255229.433763659</v>
      </c>
      <c r="I45" s="36" t="n">
        <f aca="false">I44+Parametros!$C$18*(1-F44)*H44</f>
        <v>7735817.08716787</v>
      </c>
      <c r="J45" s="36" t="n">
        <f aca="false">J44+Parametros!$C$18*F44*H44</f>
        <v>46695.0729607718</v>
      </c>
      <c r="K45" s="36" t="n">
        <f aca="false">MAX(0,G44-G45)</f>
        <v>170820.783945046</v>
      </c>
      <c r="L45" s="36" t="n">
        <f aca="false">J45-J44</f>
        <v>1181.72109746058</v>
      </c>
      <c r="M45" s="36" t="n">
        <f aca="false">IF(B45&lt;=Parametros!$C$14,0,INDEX($L$8:$L$125,B45-Parametros!$C$14))</f>
        <v>1508.60240780446</v>
      </c>
      <c r="N45" s="37" t="n">
        <f aca="false">D45/Parametros!$C$18*G45/Parametros!$C$6</f>
        <v>0.863379466730075</v>
      </c>
    </row>
    <row r="46" customFormat="false" ht="15" hidden="false" customHeight="false" outlineLevel="0" collapsed="false">
      <c r="B46" s="31" t="n">
        <f aca="false">Datos_OWID!B44</f>
        <v>39</v>
      </c>
      <c r="C46" s="32" t="n">
        <f aca="false">Datos_OWID!C44</f>
        <v>44164</v>
      </c>
      <c r="D46" s="33" t="n">
        <f aca="false">IFERROR(INDEX(Tramos_Beta!$G$6:$G$14,MATCH(B46,Tramos_Beta!$E$6:$E$14,1)),INDEX(Tramos_Beta!$G$6:$G$14,1))</f>
        <v>0.734</v>
      </c>
      <c r="E46" s="34" t="n">
        <f aca="false">Datos_OWID!I44/Parametros!$C$6</f>
        <v>0</v>
      </c>
      <c r="F46" s="35" t="n">
        <f aca="false">Parametros!$C$13*(1-E46*Parametros!$C$15)</f>
        <v>0.006</v>
      </c>
      <c r="G46" s="36" t="n">
        <f aca="false">MAX(0,G45-D45*G45*H45/Parametros!$C$6)</f>
        <v>37318330.509416</v>
      </c>
      <c r="H46" s="36" t="n">
        <f aca="false">MAX(0,H45+D45*G45*H45/Parametros!$C$6-Parametros!$C$18*H45)</f>
        <v>230820.726820779</v>
      </c>
      <c r="I46" s="36" t="n">
        <f aca="false">I45+Parametros!$C$18*(1-F45)*H45</f>
        <v>7913405.72718062</v>
      </c>
      <c r="J46" s="36" t="n">
        <f aca="false">J45+Parametros!$C$18*F45*H45</f>
        <v>47767.0365825792</v>
      </c>
      <c r="K46" s="36" t="n">
        <f aca="false">MAX(0,G45-G46)</f>
        <v>154251.89669168</v>
      </c>
      <c r="L46" s="36" t="n">
        <f aca="false">J46-J45</f>
        <v>1071.96362180737</v>
      </c>
      <c r="M46" s="36" t="n">
        <f aca="false">IF(B46&lt;=Parametros!$C$14,0,INDEX($L$8:$L$125,B46-Parametros!$C$14))</f>
        <v>1421.2877787929</v>
      </c>
      <c r="N46" s="37" t="n">
        <f aca="false">D46/Parametros!$C$18*G46/Parametros!$C$6</f>
        <v>0.859825457058031</v>
      </c>
    </row>
    <row r="47" customFormat="false" ht="15" hidden="false" customHeight="false" outlineLevel="0" collapsed="false">
      <c r="B47" s="31" t="n">
        <f aca="false">Datos_OWID!B45</f>
        <v>40</v>
      </c>
      <c r="C47" s="32" t="n">
        <f aca="false">Datos_OWID!C45</f>
        <v>44171</v>
      </c>
      <c r="D47" s="33" t="n">
        <f aca="false">IFERROR(INDEX(Tramos_Beta!$G$6:$G$14,MATCH(B47,Tramos_Beta!$E$6:$E$14,1)),INDEX(Tramos_Beta!$G$6:$G$14,1))</f>
        <v>0.734</v>
      </c>
      <c r="E47" s="34" t="n">
        <f aca="false">Datos_OWID!I45/Parametros!$C$6</f>
        <v>0</v>
      </c>
      <c r="F47" s="35" t="n">
        <f aca="false">Parametros!$C$13*(1-E47*Parametros!$C$15)</f>
        <v>0.006</v>
      </c>
      <c r="G47" s="36" t="n">
        <f aca="false">MAX(0,G46-D46*G46*H46/Parametros!$C$6)</f>
        <v>37179404.63356</v>
      </c>
      <c r="H47" s="36" t="n">
        <f aca="false">MAX(0,H46+D46*G46*H46/Parametros!$C$6-Parametros!$C$18*H46)</f>
        <v>208172.093902234</v>
      </c>
      <c r="I47" s="36" t="n">
        <f aca="false">I46+Parametros!$C$18*(1-F46)*H46</f>
        <v>8074010.78890252</v>
      </c>
      <c r="J47" s="36" t="n">
        <f aca="false">J46+Parametros!$C$18*F46*H46</f>
        <v>48736.4836352265</v>
      </c>
      <c r="K47" s="36" t="n">
        <f aca="false">MAX(0,G46-G47)</f>
        <v>138925.875855997</v>
      </c>
      <c r="L47" s="36" t="n">
        <f aca="false">J47-J46</f>
        <v>969.447052647272</v>
      </c>
      <c r="M47" s="36" t="n">
        <f aca="false">IF(B47&lt;=Parametros!$C$14,0,INDEX($L$8:$L$125,B47-Parametros!$C$14))</f>
        <v>1298.36234142136</v>
      </c>
      <c r="N47" s="37" t="n">
        <f aca="false">D47/Parametros!$C$18*G47/Parametros!$C$6</f>
        <v>0.856624563473713</v>
      </c>
    </row>
    <row r="48" customFormat="false" ht="15" hidden="false" customHeight="false" outlineLevel="0" collapsed="false">
      <c r="B48" s="31" t="n">
        <f aca="false">Datos_OWID!B46</f>
        <v>41</v>
      </c>
      <c r="C48" s="32" t="n">
        <f aca="false">Datos_OWID!C46</f>
        <v>44178</v>
      </c>
      <c r="D48" s="33" t="n">
        <f aca="false">IFERROR(INDEX(Tramos_Beta!$G$6:$G$14,MATCH(B48,Tramos_Beta!$E$6:$E$14,1)),INDEX(Tramos_Beta!$G$6:$G$14,1))</f>
        <v>0.734</v>
      </c>
      <c r="E48" s="34" t="n">
        <f aca="false">Datos_OWID!I46/Parametros!$C$6</f>
        <v>0</v>
      </c>
      <c r="F48" s="35" t="n">
        <f aca="false">Parametros!$C$13*(1-E48*Parametros!$C$15)</f>
        <v>0.006</v>
      </c>
      <c r="G48" s="36" t="n">
        <f aca="false">MAX(0,G47-D47*G47*H47/Parametros!$C$6)</f>
        <v>37054576.9032135</v>
      </c>
      <c r="H48" s="36" t="n">
        <f aca="false">MAX(0,H47+D47*G47*H47/Parametros!$C$6-Parametros!$C$18*H47)</f>
        <v>187279.358517157</v>
      </c>
      <c r="I48" s="36" t="n">
        <f aca="false">I47+Parametros!$C$18*(1-F47)*H47</f>
        <v>8218856.9318397</v>
      </c>
      <c r="J48" s="36" t="n">
        <f aca="false">J47+Parametros!$C$18*F47*H47</f>
        <v>49610.8064296159</v>
      </c>
      <c r="K48" s="36" t="n">
        <f aca="false">MAX(0,G47-G48)</f>
        <v>124827.730346486</v>
      </c>
      <c r="L48" s="36" t="n">
        <f aca="false">J48-J47</f>
        <v>874.32279438938</v>
      </c>
      <c r="M48" s="36" t="n">
        <f aca="false">IF(B48&lt;=Parametros!$C$14,0,INDEX($L$8:$L$125,B48-Parametros!$C$14))</f>
        <v>1181.72109746058</v>
      </c>
      <c r="N48" s="37" t="n">
        <f aca="false">D48/Parametros!$C$18*G48/Parametros!$C$6</f>
        <v>0.853748495363656</v>
      </c>
    </row>
    <row r="49" customFormat="false" ht="15" hidden="false" customHeight="false" outlineLevel="0" collapsed="false">
      <c r="B49" s="31" t="n">
        <f aca="false">Datos_OWID!B47</f>
        <v>42</v>
      </c>
      <c r="C49" s="32" t="n">
        <f aca="false">Datos_OWID!C47</f>
        <v>44185</v>
      </c>
      <c r="D49" s="33" t="n">
        <f aca="false">IFERROR(INDEX(Tramos_Beta!$G$6:$G$14,MATCH(B49,Tramos_Beta!$E$6:$E$14,1)),INDEX(Tramos_Beta!$G$6:$G$14,1))</f>
        <v>0.734</v>
      </c>
      <c r="E49" s="34" t="n">
        <f aca="false">Datos_OWID!I47/Parametros!$C$6</f>
        <v>0</v>
      </c>
      <c r="F49" s="35" t="n">
        <f aca="false">Parametros!$C$13*(1-E49*Parametros!$C$15)</f>
        <v>0.006</v>
      </c>
      <c r="G49" s="36" t="n">
        <f aca="false">MAX(0,G48-D48*G48*H48/Parametros!$C$6)</f>
        <v>36942654.2738308</v>
      </c>
      <c r="H49" s="36" t="n">
        <f aca="false">MAX(0,H48+D48*G48*H48/Parametros!$C$6-Parametros!$C$18*H48)</f>
        <v>168106.436937833</v>
      </c>
      <c r="I49" s="36" t="n">
        <f aca="false">I48+Parametros!$C$18*(1-F48)*H48</f>
        <v>8349165.90949593</v>
      </c>
      <c r="J49" s="36" t="n">
        <f aca="false">J48+Parametros!$C$18*F48*H48</f>
        <v>50397.3797353879</v>
      </c>
      <c r="K49" s="36" t="n">
        <f aca="false">MAX(0,G48-G49)</f>
        <v>111922.629382685</v>
      </c>
      <c r="L49" s="36" t="n">
        <f aca="false">J49-J48</f>
        <v>786.573305772057</v>
      </c>
      <c r="M49" s="36" t="n">
        <f aca="false">IF(B49&lt;=Parametros!$C$14,0,INDEX($L$8:$L$125,B49-Parametros!$C$14))</f>
        <v>1071.96362180737</v>
      </c>
      <c r="N49" s="37" t="n">
        <f aca="false">D49/Parametros!$C$18*G49/Parametros!$C$6</f>
        <v>0.851169764625961</v>
      </c>
    </row>
    <row r="50" customFormat="false" ht="15" hidden="false" customHeight="false" outlineLevel="0" collapsed="false">
      <c r="B50" s="31" t="n">
        <f aca="false">Datos_OWID!B48</f>
        <v>43</v>
      </c>
      <c r="C50" s="32" t="n">
        <f aca="false">Datos_OWID!C48</f>
        <v>44192</v>
      </c>
      <c r="D50" s="33" t="n">
        <f aca="false">IFERROR(INDEX(Tramos_Beta!$G$6:$G$14,MATCH(B50,Tramos_Beta!$E$6:$E$14,1)),INDEX(Tramos_Beta!$G$6:$G$14,1))</f>
        <v>1.0661</v>
      </c>
      <c r="E50" s="34" t="n">
        <f aca="false">Datos_OWID!I48/Parametros!$C$6</f>
        <v>0</v>
      </c>
      <c r="F50" s="35" t="n">
        <f aca="false">Parametros!$C$13*(1-E50*Parametros!$C$15)</f>
        <v>0.006</v>
      </c>
      <c r="G50" s="36" t="n">
        <f aca="false">MAX(0,G49-D49*G49*H49/Parametros!$C$6)</f>
        <v>36842493.2923785</v>
      </c>
      <c r="H50" s="36" t="n">
        <f aca="false">MAX(0,H49+D49*G49*H49/Parametros!$C$6-Parametros!$C$18*H49)</f>
        <v>150592.912533688</v>
      </c>
      <c r="I50" s="36" t="n">
        <f aca="false">I49+Parametros!$C$18*(1-F49)*H49</f>
        <v>8466134.36831728</v>
      </c>
      <c r="J50" s="36" t="n">
        <f aca="false">J49+Parametros!$C$18*F49*H49</f>
        <v>51103.4267705268</v>
      </c>
      <c r="K50" s="36" t="n">
        <f aca="false">MAX(0,G49-G50)</f>
        <v>100160.981452338</v>
      </c>
      <c r="L50" s="36" t="n">
        <f aca="false">J50-J49</f>
        <v>706.047035138894</v>
      </c>
      <c r="M50" s="36" t="n">
        <f aca="false">IF(B50&lt;=Parametros!$C$14,0,INDEX($L$8:$L$125,B50-Parametros!$C$14))</f>
        <v>969.447052647272</v>
      </c>
      <c r="N50" s="37" t="n">
        <f aca="false">D50/Parametros!$C$18*G50/Parametros!$C$6</f>
        <v>1.23293161534716</v>
      </c>
    </row>
    <row r="51" customFormat="false" ht="15" hidden="false" customHeight="false" outlineLevel="0" collapsed="false">
      <c r="B51" s="31" t="n">
        <f aca="false">Datos_OWID!B49</f>
        <v>44</v>
      </c>
      <c r="C51" s="32" t="n">
        <f aca="false">Datos_OWID!C49</f>
        <v>44199</v>
      </c>
      <c r="D51" s="33" t="n">
        <f aca="false">IFERROR(INDEX(Tramos_Beta!$G$6:$G$14,MATCH(B51,Tramos_Beta!$E$6:$E$14,1)),INDEX(Tramos_Beta!$G$6:$G$14,1))</f>
        <v>1.0661</v>
      </c>
      <c r="E51" s="34" t="n">
        <f aca="false">Datos_OWID!I49/Parametros!$C$6</f>
        <v>2.41703398991402E-007</v>
      </c>
      <c r="F51" s="35" t="n">
        <f aca="false">Parametros!$C$13*(1-E51*Parametros!$C$15)</f>
        <v>0.00599999898484572</v>
      </c>
      <c r="G51" s="36" t="n">
        <f aca="false">MAX(0,G50-D50*G50*H50/Parametros!$C$6)</f>
        <v>36712523.7583415</v>
      </c>
      <c r="H51" s="36" t="n">
        <f aca="false">MAX(0,H50+D50*G50*H50/Parametros!$C$6-Parametros!$C$18*H50)</f>
        <v>175147.407797102</v>
      </c>
      <c r="I51" s="36" t="n">
        <f aca="false">I50+Parametros!$C$18*(1-F50)*H50</f>
        <v>8570916.91685822</v>
      </c>
      <c r="J51" s="36" t="n">
        <f aca="false">J50+Parametros!$C$18*F50*H50</f>
        <v>51735.9170031683</v>
      </c>
      <c r="K51" s="36" t="n">
        <f aca="false">MAX(0,G50-G51)</f>
        <v>129969.534036994</v>
      </c>
      <c r="L51" s="36" t="n">
        <f aca="false">J51-J50</f>
        <v>632.490232641489</v>
      </c>
      <c r="M51" s="36" t="n">
        <f aca="false">IF(B51&lt;=Parametros!$C$14,0,INDEX($L$8:$L$125,B51-Parametros!$C$14))</f>
        <v>874.32279438938</v>
      </c>
      <c r="N51" s="37" t="n">
        <f aca="false">D51/Parametros!$C$18*G51/Parametros!$C$6</f>
        <v>1.22858219343712</v>
      </c>
    </row>
    <row r="52" customFormat="false" ht="15" hidden="false" customHeight="false" outlineLevel="0" collapsed="false">
      <c r="B52" s="31" t="n">
        <f aca="false">Datos_OWID!B50</f>
        <v>45</v>
      </c>
      <c r="C52" s="32" t="n">
        <f aca="false">Datos_OWID!C50</f>
        <v>44206</v>
      </c>
      <c r="D52" s="33" t="n">
        <f aca="false">IFERROR(INDEX(Tramos_Beta!$G$6:$G$14,MATCH(B52,Tramos_Beta!$E$6:$E$14,1)),INDEX(Tramos_Beta!$G$6:$G$14,1))</f>
        <v>1.0661</v>
      </c>
      <c r="E52" s="34" t="n">
        <f aca="false">Datos_OWID!I50/Parametros!$C$6</f>
        <v>6.5919108815837E-007</v>
      </c>
      <c r="F52" s="35" t="n">
        <f aca="false">Parametros!$C$13*(1-E52*Parametros!$C$15)</f>
        <v>0.00599999723139743</v>
      </c>
      <c r="G52" s="36" t="n">
        <f aca="false">MAX(0,G51-D51*G51*H51/Parametros!$C$6)</f>
        <v>36561895.6678292</v>
      </c>
      <c r="H52" s="36" t="n">
        <f aca="false">MAX(0,H51+D51*G51*H51/Parametros!$C$6-Parametros!$C$18*H51)</f>
        <v>203172.312851463</v>
      </c>
      <c r="I52" s="36" t="n">
        <f aca="false">I51+Parametros!$C$18*(1-F51)*H51</f>
        <v>8692784.4833279</v>
      </c>
      <c r="J52" s="36" t="n">
        <f aca="false">J51+Parametros!$C$18*F51*H51</f>
        <v>52471.535991455</v>
      </c>
      <c r="K52" s="36" t="n">
        <f aca="false">MAX(0,G51-G52)</f>
        <v>150628.090512335</v>
      </c>
      <c r="L52" s="36" t="n">
        <f aca="false">J52-J51</f>
        <v>735.618988286682</v>
      </c>
      <c r="M52" s="36" t="n">
        <f aca="false">IF(B52&lt;=Parametros!$C$14,0,INDEX($L$8:$L$125,B52-Parametros!$C$14))</f>
        <v>786.573305772057</v>
      </c>
      <c r="N52" s="37" t="n">
        <f aca="false">D52/Parametros!$C$18*G52/Parametros!$C$6</f>
        <v>1.2235414342931</v>
      </c>
    </row>
    <row r="53" customFormat="false" ht="15" hidden="false" customHeight="false" outlineLevel="0" collapsed="false">
      <c r="B53" s="31" t="n">
        <f aca="false">Datos_OWID!B51</f>
        <v>46</v>
      </c>
      <c r="C53" s="32" t="n">
        <f aca="false">Datos_OWID!C51</f>
        <v>44213</v>
      </c>
      <c r="D53" s="33" t="n">
        <f aca="false">IFERROR(INDEX(Tramos_Beta!$G$6:$G$14,MATCH(B53,Tramos_Beta!$E$6:$E$14,1)),INDEX(Tramos_Beta!$G$6:$G$14,1))</f>
        <v>1.0661</v>
      </c>
      <c r="E53" s="34" t="n">
        <f aca="false">Datos_OWID!I51/Parametros!$C$6</f>
        <v>1.27443610377285E-006</v>
      </c>
      <c r="F53" s="35" t="n">
        <f aca="false">Parametros!$C$13*(1-E53*Parametros!$C$15)</f>
        <v>0.00599999464736836</v>
      </c>
      <c r="G53" s="36" t="n">
        <f aca="false">MAX(0,G52-D52*G52*H52/Parametros!$C$6)</f>
        <v>36387882.8476767</v>
      </c>
      <c r="H53" s="36" t="n">
        <f aca="false">MAX(0,H52+D52*G52*H52/Parametros!$C$6-Parametros!$C$18*H52)</f>
        <v>234964.514007888</v>
      </c>
      <c r="I53" s="36" t="n">
        <f aca="false">I52+Parametros!$C$18*(1-F52)*H52</f>
        <v>8834151.7790037</v>
      </c>
      <c r="J53" s="36" t="n">
        <f aca="false">J52+Parametros!$C$18*F52*H52</f>
        <v>53324.8593116788</v>
      </c>
      <c r="K53" s="36" t="n">
        <f aca="false">MAX(0,G52-G53)</f>
        <v>174012.820152447</v>
      </c>
      <c r="L53" s="36" t="n">
        <f aca="false">J53-J52</f>
        <v>853.323320223775</v>
      </c>
      <c r="M53" s="36" t="n">
        <f aca="false">IF(B53&lt;=Parametros!$C$14,0,INDEX($L$8:$L$125,B53-Parametros!$C$14))</f>
        <v>706.047035138894</v>
      </c>
      <c r="N53" s="37" t="n">
        <f aca="false">D53/Parametros!$C$18*G53/Parametros!$C$6</f>
        <v>1.21771810670941</v>
      </c>
    </row>
    <row r="54" customFormat="false" ht="15" hidden="false" customHeight="false" outlineLevel="0" collapsed="false">
      <c r="B54" s="31" t="n">
        <f aca="false">Datos_OWID!B52</f>
        <v>47</v>
      </c>
      <c r="C54" s="32" t="n">
        <f aca="false">Datos_OWID!C52</f>
        <v>44220</v>
      </c>
      <c r="D54" s="33" t="n">
        <f aca="false">IFERROR(INDEX(Tramos_Beta!$G$6:$G$14,MATCH(B54,Tramos_Beta!$E$6:$E$14,1)),INDEX(Tramos_Beta!$G$6:$G$14,1))</f>
        <v>1.0661</v>
      </c>
      <c r="E54" s="34" t="n">
        <f aca="false">Datos_OWID!I52/Parametros!$C$6</f>
        <v>0.000781932468773459</v>
      </c>
      <c r="F54" s="35" t="n">
        <f aca="false">Parametros!$C$13*(1-E54*Parametros!$C$15)</f>
        <v>0.00599671588363115</v>
      </c>
      <c r="G54" s="36" t="n">
        <f aca="false">MAX(0,G53-D53*G53*H53/Parametros!$C$6)</f>
        <v>36187598.4674776</v>
      </c>
      <c r="H54" s="36" t="n">
        <f aca="false">MAX(0,H53+D53*G53*H53/Parametros!$C$6-Parametros!$C$18*H53)</f>
        <v>270773.734401473</v>
      </c>
      <c r="I54" s="36" t="n">
        <f aca="false">I53+Parametros!$C$18*(1-F53)*H53</f>
        <v>8997640.08873077</v>
      </c>
      <c r="J54" s="36" t="n">
        <f aca="false">J53+Parametros!$C$18*F53*H53</f>
        <v>54311.709390137</v>
      </c>
      <c r="K54" s="36" t="n">
        <f aca="false">MAX(0,G53-G54)</f>
        <v>200284.380199105</v>
      </c>
      <c r="L54" s="36" t="n">
        <f aca="false">J54-J53</f>
        <v>986.850078458185</v>
      </c>
      <c r="M54" s="36" t="n">
        <f aca="false">IF(B54&lt;=Parametros!$C$14,0,INDEX($L$8:$L$125,B54-Parametros!$C$14))</f>
        <v>632.490232641489</v>
      </c>
      <c r="N54" s="37" t="n">
        <f aca="false">D54/Parametros!$C$18*G54/Parametros!$C$6</f>
        <v>1.21101560309631</v>
      </c>
    </row>
    <row r="55" customFormat="false" ht="15" hidden="false" customHeight="false" outlineLevel="0" collapsed="false">
      <c r="B55" s="31" t="n">
        <f aca="false">Datos_OWID!B53</f>
        <v>48</v>
      </c>
      <c r="C55" s="32" t="n">
        <f aca="false">Datos_OWID!C53</f>
        <v>44227</v>
      </c>
      <c r="D55" s="33" t="n">
        <f aca="false">IFERROR(INDEX(Tramos_Beta!$G$6:$G$14,MATCH(B55,Tramos_Beta!$E$6:$E$14,1)),INDEX(Tramos_Beta!$G$6:$G$14,1))</f>
        <v>1.0661</v>
      </c>
      <c r="E55" s="34" t="n">
        <f aca="false">Datos_OWID!I53/Parametros!$C$6</f>
        <v>0.0022539061686311</v>
      </c>
      <c r="F55" s="35" t="n">
        <f aca="false">Parametros!$C$13*(1-E55*Parametros!$C$15)</f>
        <v>0.00599053359409175</v>
      </c>
      <c r="G55" s="36" t="n">
        <f aca="false">MAX(0,G54-D54*G54*H54/Parametros!$C$6)</f>
        <v>35958060.6153894</v>
      </c>
      <c r="H55" s="36" t="n">
        <f aca="false">MAX(0,H54+D54*G54*H54/Parametros!$C$6-Parametros!$C$18*H54)</f>
        <v>310769.97240863</v>
      </c>
      <c r="I55" s="36" t="n">
        <f aca="false">I54+Parametros!$C$18*(1-F54)*H54</f>
        <v>9186045.07560403</v>
      </c>
      <c r="J55" s="36" t="n">
        <f aca="false">J54+Parametros!$C$18*F54*H54</f>
        <v>55448.3365979058</v>
      </c>
      <c r="K55" s="36" t="n">
        <f aca="false">MAX(0,G54-G55)</f>
        <v>229537.852088191</v>
      </c>
      <c r="L55" s="36" t="n">
        <f aca="false">J55-J54</f>
        <v>1136.6272077688</v>
      </c>
      <c r="M55" s="36" t="n">
        <f aca="false">IF(B55&lt;=Parametros!$C$14,0,INDEX($L$8:$L$125,B55-Parametros!$C$14))</f>
        <v>735.618988286682</v>
      </c>
      <c r="N55" s="37" t="n">
        <f aca="false">D55/Parametros!$C$18*G55/Parametros!$C$6</f>
        <v>1.20333413397009</v>
      </c>
    </row>
    <row r="56" customFormat="false" ht="15" hidden="false" customHeight="false" outlineLevel="0" collapsed="false">
      <c r="B56" s="31" t="n">
        <f aca="false">Datos_OWID!B54</f>
        <v>49</v>
      </c>
      <c r="C56" s="32" t="n">
        <f aca="false">Datos_OWID!C54</f>
        <v>44234</v>
      </c>
      <c r="D56" s="33" t="n">
        <f aca="false">IFERROR(INDEX(Tramos_Beta!$G$6:$G$14,MATCH(B56,Tramos_Beta!$E$6:$E$14,1)),INDEX(Tramos_Beta!$G$6:$G$14,1))</f>
        <v>1.0661</v>
      </c>
      <c r="E56" s="34" t="n">
        <f aca="false">Datos_OWID!I54/Parametros!$C$6</f>
        <v>0.00439284941148738</v>
      </c>
      <c r="F56" s="35" t="n">
        <f aca="false">Parametros!$C$13*(1-E56*Parametros!$C$15)</f>
        <v>0.00598155003247175</v>
      </c>
      <c r="G56" s="36" t="n">
        <f aca="false">MAX(0,G55-D55*G55*H55/Parametros!$C$6)</f>
        <v>35696288.5344609</v>
      </c>
      <c r="H56" s="36" t="n">
        <f aca="false">MAX(0,H55+D55*G55*H55/Parametros!$C$6-Parametros!$C$18*H55)</f>
        <v>355003.072651162</v>
      </c>
      <c r="I56" s="36" t="n">
        <f aca="false">I55+Parametros!$C$18*(1-F55)*H55</f>
        <v>9402280.88171825</v>
      </c>
      <c r="J56" s="36" t="n">
        <f aca="false">J55+Parametros!$C$18*F55*H55</f>
        <v>56751.51116973</v>
      </c>
      <c r="K56" s="36" t="n">
        <f aca="false">MAX(0,G55-G56)</f>
        <v>261772.080928572</v>
      </c>
      <c r="L56" s="36" t="n">
        <f aca="false">J56-J55</f>
        <v>1303.1745718242</v>
      </c>
      <c r="M56" s="36" t="n">
        <f aca="false">IF(B56&lt;=Parametros!$C$14,0,INDEX($L$8:$L$125,B56-Parametros!$C$14))</f>
        <v>853.323320223775</v>
      </c>
      <c r="N56" s="37" t="n">
        <f aca="false">D56/Parametros!$C$18*G56/Parametros!$C$6</f>
        <v>1.19457394849538</v>
      </c>
    </row>
    <row r="57" customFormat="false" ht="15" hidden="false" customHeight="false" outlineLevel="0" collapsed="false">
      <c r="B57" s="31" t="n">
        <f aca="false">Datos_OWID!B55</f>
        <v>50</v>
      </c>
      <c r="C57" s="32" t="n">
        <f aca="false">Datos_OWID!C55</f>
        <v>44241</v>
      </c>
      <c r="D57" s="33" t="n">
        <f aca="false">IFERROR(INDEX(Tramos_Beta!$G$6:$G$14,MATCH(B57,Tramos_Beta!$E$6:$E$14,1)),INDEX(Tramos_Beta!$G$6:$G$14,1))</f>
        <v>1.0661</v>
      </c>
      <c r="E57" s="34" t="n">
        <f aca="false">Datos_OWID!I55/Parametros!$C$6</f>
        <v>0.00538348177877178</v>
      </c>
      <c r="F57" s="35" t="n">
        <f aca="false">Parametros!$C$13*(1-E57*Parametros!$C$15)</f>
        <v>0.00597738937652916</v>
      </c>
      <c r="G57" s="36" t="n">
        <f aca="false">MAX(0,G56-D56*G56*H56/Parametros!$C$6)</f>
        <v>35399434.3389034</v>
      </c>
      <c r="H57" s="36" t="n">
        <f aca="false">MAX(0,H56+D56*G56*H56/Parametros!$C$6-Parametros!$C$18*H56)</f>
        <v>403355.117352771</v>
      </c>
      <c r="I57" s="36" t="n">
        <f aca="false">I56+Parametros!$C$18*(1-F56)*H56</f>
        <v>9649296.60452554</v>
      </c>
      <c r="J57" s="36" t="n">
        <f aca="false">J56+Parametros!$C$18*F56*H56</f>
        <v>58237.9392182508</v>
      </c>
      <c r="K57" s="36" t="n">
        <f aca="false">MAX(0,G56-G57)</f>
        <v>296854.195557423</v>
      </c>
      <c r="L57" s="36" t="n">
        <f aca="false">J57-J56</f>
        <v>1486.42804852089</v>
      </c>
      <c r="M57" s="36" t="n">
        <f aca="false">IF(B57&lt;=Parametros!$C$14,0,INDEX($L$8:$L$125,B57-Parametros!$C$14))</f>
        <v>986.850078458185</v>
      </c>
      <c r="N57" s="37" t="n">
        <f aca="false">D57/Parametros!$C$18*G57/Parametros!$C$6</f>
        <v>1.18463974236153</v>
      </c>
    </row>
    <row r="58" customFormat="false" ht="15" hidden="false" customHeight="false" outlineLevel="0" collapsed="false">
      <c r="B58" s="31" t="n">
        <f aca="false">Datos_OWID!B56</f>
        <v>51</v>
      </c>
      <c r="C58" s="32" t="n">
        <f aca="false">Datos_OWID!C56</f>
        <v>44248</v>
      </c>
      <c r="D58" s="33" t="n">
        <f aca="false">IFERROR(INDEX(Tramos_Beta!$G$6:$G$14,MATCH(B58,Tramos_Beta!$E$6:$E$14,1)),INDEX(Tramos_Beta!$G$6:$G$14,1))</f>
        <v>1.0661</v>
      </c>
      <c r="E58" s="34" t="n">
        <f aca="false">Datos_OWID!I56/Parametros!$C$6</f>
        <v>0.0059536600969925</v>
      </c>
      <c r="F58" s="35" t="n">
        <f aca="false">Parametros!$C$13*(1-E58*Parametros!$C$15)</f>
        <v>0.00597499462759263</v>
      </c>
      <c r="G58" s="36" t="n">
        <f aca="false">MAX(0,G57-D57*G57*H57/Parametros!$C$6)</f>
        <v>35064952.9872927</v>
      </c>
      <c r="H58" s="36" t="n">
        <f aca="false">MAX(0,H57+D57*G57*H57/Parametros!$C$6-Parametros!$C$18*H57)</f>
        <v>455487.886816526</v>
      </c>
      <c r="I58" s="36" t="n">
        <f aca="false">I57+Parametros!$C$18*(1-F57)*H57</f>
        <v>9929957.47925708</v>
      </c>
      <c r="J58" s="36" t="n">
        <f aca="false">J57+Parametros!$C$18*F57*H57</f>
        <v>59925.646633654</v>
      </c>
      <c r="K58" s="36" t="n">
        <f aca="false">MAX(0,G57-G58)</f>
        <v>334481.351610698</v>
      </c>
      <c r="L58" s="36" t="n">
        <f aca="false">J58-J57</f>
        <v>1687.70741540319</v>
      </c>
      <c r="M58" s="36" t="n">
        <f aca="false">IF(B58&lt;=Parametros!$C$14,0,INDEX($L$8:$L$125,B58-Parametros!$C$14))</f>
        <v>1136.6272077688</v>
      </c>
      <c r="N58" s="37" t="n">
        <f aca="false">D58/Parametros!$C$18*G58/Parametros!$C$6</f>
        <v>1.17344634592465</v>
      </c>
    </row>
    <row r="59" customFormat="false" ht="15" hidden="false" customHeight="false" outlineLevel="0" collapsed="false">
      <c r="B59" s="31" t="n">
        <f aca="false">Datos_OWID!B57</f>
        <v>52</v>
      </c>
      <c r="C59" s="32" t="n">
        <f aca="false">Datos_OWID!C57</f>
        <v>44255</v>
      </c>
      <c r="D59" s="33" t="n">
        <f aca="false">IFERROR(INDEX(Tramos_Beta!$G$6:$G$14,MATCH(B59,Tramos_Beta!$E$6:$E$14,1)),INDEX(Tramos_Beta!$G$6:$G$14,1))</f>
        <v>1.0661</v>
      </c>
      <c r="E59" s="34" t="n">
        <f aca="false">Datos_OWID!I57/Parametros!$C$6</f>
        <v>0.00676894763482677</v>
      </c>
      <c r="F59" s="35" t="n">
        <f aca="false">Parametros!$C$13*(1-E59*Parametros!$C$15)</f>
        <v>0.00597157041993373</v>
      </c>
      <c r="G59" s="36" t="n">
        <f aca="false">MAX(0,G58-D58*G58*H58/Parametros!$C$6)</f>
        <v>34690809.5698143</v>
      </c>
      <c r="H59" s="36" t="n">
        <f aca="false">MAX(0,H58+D58*G58*H58/Parametros!$C$6-Parametros!$C$18*H58)</f>
        <v>510789.783523413</v>
      </c>
      <c r="I59" s="36" t="n">
        <f aca="false">I58+Parametros!$C$18*(1-F58)*H58</f>
        <v>10246893.923655</v>
      </c>
      <c r="J59" s="36" t="n">
        <f aca="false">J58+Parametros!$C$18*F58*H58</f>
        <v>61830.7230073176</v>
      </c>
      <c r="K59" s="36" t="n">
        <f aca="false">MAX(0,G58-G59)</f>
        <v>374143.417478457</v>
      </c>
      <c r="L59" s="36" t="n">
        <f aca="false">J59-J58</f>
        <v>1905.07637366359</v>
      </c>
      <c r="M59" s="36" t="n">
        <f aca="false">IF(B59&lt;=Parametros!$C$14,0,INDEX($L$8:$L$125,B59-Parametros!$C$14))</f>
        <v>1303.1745718242</v>
      </c>
      <c r="N59" s="37" t="n">
        <f aca="false">D59/Parametros!$C$18*G59/Parametros!$C$6</f>
        <v>1.16092566106159</v>
      </c>
    </row>
    <row r="60" customFormat="false" ht="15" hidden="false" customHeight="false" outlineLevel="0" collapsed="false">
      <c r="B60" s="31" t="n">
        <f aca="false">Datos_OWID!B58</f>
        <v>53</v>
      </c>
      <c r="C60" s="32" t="n">
        <f aca="false">Datos_OWID!C58</f>
        <v>44262</v>
      </c>
      <c r="D60" s="33" t="n">
        <f aca="false">IFERROR(INDEX(Tramos_Beta!$G$6:$G$14,MATCH(B60,Tramos_Beta!$E$6:$E$14,1)),INDEX(Tramos_Beta!$G$6:$G$14,1))</f>
        <v>1.0661</v>
      </c>
      <c r="E60" s="34" t="n">
        <f aca="false">Datos_OWID!I58/Parametros!$C$6</f>
        <v>0.00791264417278154</v>
      </c>
      <c r="F60" s="35" t="n">
        <f aca="false">Parametros!$C$13*(1-E60*Parametros!$C$15)</f>
        <v>0.00596676689447432</v>
      </c>
      <c r="G60" s="36" t="n">
        <f aca="false">MAX(0,G59-D59*G59*H59/Parametros!$C$6)</f>
        <v>34275717.292844</v>
      </c>
      <c r="H60" s="36" t="n">
        <f aca="false">MAX(0,H59+D59*G59*H59/Parametros!$C$6-Parametros!$C$18*H59)</f>
        <v>568329.212027321</v>
      </c>
      <c r="I60" s="36" t="n">
        <f aca="false">I59+Parametros!$C$18*(1-F59)*H59</f>
        <v>10602311.6201079</v>
      </c>
      <c r="J60" s="36" t="n">
        <f aca="false">J59+Parametros!$C$18*F59*H59</f>
        <v>63965.8750207826</v>
      </c>
      <c r="K60" s="36" t="n">
        <f aca="false">MAX(0,G59-G60)</f>
        <v>415092.276970297</v>
      </c>
      <c r="L60" s="36" t="n">
        <f aca="false">J60-J59</f>
        <v>2135.15201346493</v>
      </c>
      <c r="M60" s="36" t="n">
        <f aca="false">IF(B60&lt;=Parametros!$C$14,0,INDEX($L$8:$L$125,B60-Parametros!$C$14))</f>
        <v>1486.42804852089</v>
      </c>
      <c r="N60" s="37" t="n">
        <f aca="false">D60/Parametros!$C$18*G60/Parametros!$C$6</f>
        <v>1.14703462530835</v>
      </c>
    </row>
    <row r="61" customFormat="false" ht="15" hidden="false" customHeight="false" outlineLevel="0" collapsed="false">
      <c r="B61" s="31" t="n">
        <f aca="false">Datos_OWID!B59</f>
        <v>54</v>
      </c>
      <c r="C61" s="32" t="n">
        <f aca="false">Datos_OWID!C59</f>
        <v>44269</v>
      </c>
      <c r="D61" s="33" t="n">
        <f aca="false">IFERROR(INDEX(Tramos_Beta!$G$6:$G$14,MATCH(B61,Tramos_Beta!$E$6:$E$14,1)),INDEX(Tramos_Beta!$G$6:$G$14,1))</f>
        <v>1.0661</v>
      </c>
      <c r="E61" s="34" t="n">
        <f aca="false">Datos_OWID!I59/Parametros!$C$6</f>
        <v>0.0104662845291983</v>
      </c>
      <c r="F61" s="35" t="n">
        <f aca="false">Parametros!$C$13*(1-E61*Parametros!$C$15)</f>
        <v>0.00595604160497737</v>
      </c>
      <c r="G61" s="36" t="n">
        <f aca="false">MAX(0,G60-D60*G60*H60/Parametros!$C$6)</f>
        <v>33819391.9935053</v>
      </c>
      <c r="H61" s="36" t="n">
        <f aca="false">MAX(0,H60+D60*G60*H60/Parametros!$C$6-Parametros!$C$18*H60)</f>
        <v>626824.062946878</v>
      </c>
      <c r="I61" s="36" t="n">
        <f aca="false">I60+Parametros!$C$18*(1-F60)*H60</f>
        <v>10997768.3069778</v>
      </c>
      <c r="J61" s="36" t="n">
        <f aca="false">J60+Parametros!$C$18*F60*H60</f>
        <v>66339.6365700237</v>
      </c>
      <c r="K61" s="36" t="n">
        <f aca="false">MAX(0,G60-G61)</f>
        <v>456325.299338684</v>
      </c>
      <c r="L61" s="36" t="n">
        <f aca="false">J61-J60</f>
        <v>2373.76154924111</v>
      </c>
      <c r="M61" s="36" t="n">
        <f aca="false">IF(B61&lt;=Parametros!$C$14,0,INDEX($L$8:$L$125,B61-Parametros!$C$14))</f>
        <v>1687.70741540319</v>
      </c>
      <c r="N61" s="37" t="n">
        <f aca="false">D61/Parametros!$C$18*G61/Parametros!$C$6</f>
        <v>1.13176372917294</v>
      </c>
    </row>
    <row r="62" customFormat="false" ht="15" hidden="false" customHeight="false" outlineLevel="0" collapsed="false">
      <c r="B62" s="31" t="n">
        <f aca="false">Datos_OWID!B60</f>
        <v>55</v>
      </c>
      <c r="C62" s="32" t="n">
        <f aca="false">Datos_OWID!C60</f>
        <v>44276</v>
      </c>
      <c r="D62" s="33" t="n">
        <f aca="false">IFERROR(INDEX(Tramos_Beta!$G$6:$G$14,MATCH(B62,Tramos_Beta!$E$6:$E$14,1)),INDEX(Tramos_Beta!$G$6:$G$14,1))</f>
        <v>1.0661</v>
      </c>
      <c r="E62" s="34" t="n">
        <f aca="false">Datos_OWID!I60/Parametros!$C$6</f>
        <v>0.0140394737686332</v>
      </c>
      <c r="F62" s="35" t="n">
        <f aca="false">Parametros!$C$13*(1-E62*Parametros!$C$15)</f>
        <v>0.00594103421017174</v>
      </c>
      <c r="G62" s="36" t="n">
        <f aca="false">MAX(0,G61-D61*G61*H61/Parametros!$C$6)</f>
        <v>33322800.276194</v>
      </c>
      <c r="H62" s="36" t="n">
        <f aca="false">MAX(0,H61+D61*G61*H61/Parametros!$C$6-Parametros!$C$18*H61)</f>
        <v>684638.936195327</v>
      </c>
      <c r="I62" s="36" t="n">
        <f aca="false">I61+Parametros!$C$18*(1-F61)*H61</f>
        <v>11433931.7779021</v>
      </c>
      <c r="J62" s="36" t="n">
        <f aca="false">J61+Parametros!$C$18*F61*H61</f>
        <v>68953.0097085625</v>
      </c>
      <c r="K62" s="36" t="n">
        <f aca="false">MAX(0,G61-G62)</f>
        <v>496591.717311263</v>
      </c>
      <c r="L62" s="36" t="n">
        <f aca="false">J62-J61</f>
        <v>2613.37313853879</v>
      </c>
      <c r="M62" s="36" t="n">
        <f aca="false">IF(B62&lt;=Parametros!$C$14,0,INDEX($L$8:$L$125,B62-Parametros!$C$14))</f>
        <v>1905.07637366359</v>
      </c>
      <c r="N62" s="37" t="n">
        <f aca="false">D62/Parametros!$C$18*G62/Parametros!$C$6</f>
        <v>1.11514532000791</v>
      </c>
    </row>
    <row r="63" customFormat="false" ht="15" hidden="false" customHeight="false" outlineLevel="0" collapsed="false">
      <c r="B63" s="31" t="n">
        <f aca="false">Datos_OWID!B61</f>
        <v>56</v>
      </c>
      <c r="C63" s="32" t="n">
        <f aca="false">Datos_OWID!C61</f>
        <v>44283</v>
      </c>
      <c r="D63" s="33" t="n">
        <f aca="false">IFERROR(INDEX(Tramos_Beta!$G$6:$G$14,MATCH(B63,Tramos_Beta!$E$6:$E$14,1)),INDEX(Tramos_Beta!$G$6:$G$14,1))</f>
        <v>0.9094</v>
      </c>
      <c r="E63" s="34" t="n">
        <f aca="false">Datos_OWID!I61/Parametros!$C$6</f>
        <v>0.0152605373673015</v>
      </c>
      <c r="F63" s="35" t="n">
        <f aca="false">Parametros!$C$13*(1-E63*Parametros!$C$15)</f>
        <v>0.00593590574305733</v>
      </c>
      <c r="G63" s="36" t="n">
        <f aca="false">MAX(0,G62-D62*G62*H62/Parametros!$C$6)</f>
        <v>32788369.9422787</v>
      </c>
      <c r="H63" s="36" t="n">
        <f aca="false">MAX(0,H62+D62*G62*H62/Parametros!$C$6-Parametros!$C$18*H62)</f>
        <v>739822.014773986</v>
      </c>
      <c r="I63" s="36" t="n">
        <f aca="false">I62+Parametros!$C$18*(1-F62)*H62</f>
        <v>11910331.8088997</v>
      </c>
      <c r="J63" s="36" t="n">
        <f aca="false">J62+Parametros!$C$18*F62*H62</f>
        <v>71800.2340476489</v>
      </c>
      <c r="K63" s="36" t="n">
        <f aca="false">MAX(0,G62-G63)</f>
        <v>534430.333915386</v>
      </c>
      <c r="L63" s="36" t="n">
        <f aca="false">J63-J62</f>
        <v>2847.22433908642</v>
      </c>
      <c r="M63" s="36" t="n">
        <f aca="false">IF(B63&lt;=Parametros!$C$14,0,INDEX($L$8:$L$125,B63-Parametros!$C$14))</f>
        <v>2135.15201346493</v>
      </c>
      <c r="N63" s="37" t="n">
        <f aca="false">D63/Parametros!$C$18*G63/Parametros!$C$6</f>
        <v>0.93598051747267</v>
      </c>
    </row>
    <row r="64" customFormat="false" ht="15" hidden="false" customHeight="false" outlineLevel="0" collapsed="false">
      <c r="B64" s="31" t="n">
        <f aca="false">Datos_OWID!B62</f>
        <v>57</v>
      </c>
      <c r="C64" s="32" t="n">
        <f aca="false">Datos_OWID!C62</f>
        <v>44290</v>
      </c>
      <c r="D64" s="33" t="n">
        <f aca="false">IFERROR(INDEX(Tramos_Beta!$G$6:$G$14,MATCH(B64,Tramos_Beta!$E$6:$E$14,1)),INDEX(Tramos_Beta!$G$6:$G$14,1))</f>
        <v>0.9094</v>
      </c>
      <c r="E64" s="34" t="n">
        <f aca="false">Datos_OWID!I62/Parametros!$C$6</f>
        <v>0.0156721582557839</v>
      </c>
      <c r="F64" s="35" t="n">
        <f aca="false">Parametros!$C$13*(1-E64*Parametros!$C$15)</f>
        <v>0.00593417693532571</v>
      </c>
      <c r="G64" s="36" t="n">
        <f aca="false">MAX(0,G63-D63*G63*H63/Parametros!$C$6)</f>
        <v>32303648.6477206</v>
      </c>
      <c r="H64" s="36" t="n">
        <f aca="false">MAX(0,H63+D63*G63*H63/Parametros!$C$6-Parametros!$C$18*H63)</f>
        <v>706667.898990276</v>
      </c>
      <c r="I64" s="36" t="n">
        <f aca="false">I63+Parametros!$C$18*(1-F63)*H63</f>
        <v>12425133.1596191</v>
      </c>
      <c r="J64" s="36" t="n">
        <f aca="false">J63+Parametros!$C$18*F63*H63</f>
        <v>74874.2936700849</v>
      </c>
      <c r="K64" s="36" t="n">
        <f aca="false">MAX(0,G63-G64)</f>
        <v>484721.294558082</v>
      </c>
      <c r="L64" s="36" t="n">
        <f aca="false">J64-J63</f>
        <v>3074.05962243601</v>
      </c>
      <c r="M64" s="36" t="n">
        <f aca="false">IF(B64&lt;=Parametros!$C$14,0,INDEX($L$8:$L$125,B64-Parametros!$C$14))</f>
        <v>2373.76154924111</v>
      </c>
      <c r="N64" s="37" t="n">
        <f aca="false">D64/Parametros!$C$18*G64/Parametros!$C$6</f>
        <v>0.92214360856536</v>
      </c>
    </row>
    <row r="65" customFormat="false" ht="15" hidden="false" customHeight="false" outlineLevel="0" collapsed="false">
      <c r="B65" s="31" t="n">
        <f aca="false">Datos_OWID!B63</f>
        <v>58</v>
      </c>
      <c r="C65" s="32" t="n">
        <f aca="false">Datos_OWID!C63</f>
        <v>44297</v>
      </c>
      <c r="D65" s="33" t="n">
        <f aca="false">IFERROR(INDEX(Tramos_Beta!$G$6:$G$14,MATCH(B65,Tramos_Beta!$E$6:$E$14,1)),INDEX(Tramos_Beta!$G$6:$G$14,1))</f>
        <v>0.9094</v>
      </c>
      <c r="E65" s="34" t="n">
        <f aca="false">Datos_OWID!I63/Parametros!$C$6</f>
        <v>0.0167322913367965</v>
      </c>
      <c r="F65" s="35" t="n">
        <f aca="false">Parametros!$C$13*(1-E65*Parametros!$C$15)</f>
        <v>0.00592972437638546</v>
      </c>
      <c r="G65" s="36" t="n">
        <f aca="false">MAX(0,G64-D64*G64*H64/Parametros!$C$6)</f>
        <v>31847494.147218</v>
      </c>
      <c r="H65" s="36" t="n">
        <f aca="false">MAX(0,H64+D64*G64*H64/Parametros!$C$6-Parametros!$C$18*H64)</f>
        <v>668154.870199619</v>
      </c>
      <c r="I65" s="36" t="n">
        <f aca="false">I64+Parametros!$C$18*(1-F64)*H64</f>
        <v>12916865.2442693</v>
      </c>
      <c r="J65" s="36" t="n">
        <f aca="false">J64+Parametros!$C$18*F64*H64</f>
        <v>77809.7383130711</v>
      </c>
      <c r="K65" s="36" t="n">
        <f aca="false">MAX(0,G64-G65)</f>
        <v>456154.500502534</v>
      </c>
      <c r="L65" s="36" t="n">
        <f aca="false">J65-J64</f>
        <v>2935.44464298621</v>
      </c>
      <c r="M65" s="36" t="n">
        <f aca="false">IF(B65&lt;=Parametros!$C$14,0,INDEX($L$8:$L$125,B65-Parametros!$C$14))</f>
        <v>2613.37313853879</v>
      </c>
      <c r="N65" s="37" t="n">
        <f aca="false">D65/Parametros!$C$18*G65/Parametros!$C$6</f>
        <v>0.909122170592705</v>
      </c>
    </row>
    <row r="66" customFormat="false" ht="15" hidden="false" customHeight="false" outlineLevel="0" collapsed="false">
      <c r="B66" s="31" t="n">
        <f aca="false">Datos_OWID!B64</f>
        <v>59</v>
      </c>
      <c r="C66" s="32" t="n">
        <f aca="false">Datos_OWID!C64</f>
        <v>44304</v>
      </c>
      <c r="D66" s="33" t="n">
        <f aca="false">IFERROR(INDEX(Tramos_Beta!$G$6:$G$14,MATCH(B66,Tramos_Beta!$E$6:$E$14,1)),INDEX(Tramos_Beta!$G$6:$G$14,1))</f>
        <v>0.9094</v>
      </c>
      <c r="E66" s="34" t="n">
        <f aca="false">Datos_OWID!I64/Parametros!$C$6</f>
        <v>0.018556624646311</v>
      </c>
      <c r="F66" s="35" t="n">
        <f aca="false">Parametros!$C$13*(1-E66*Parametros!$C$15)</f>
        <v>0.00592206217648549</v>
      </c>
      <c r="G66" s="36" t="n">
        <f aca="false">MAX(0,G65-D65*G65*H65/Parametros!$C$6)</f>
        <v>31422290.0630965</v>
      </c>
      <c r="H66" s="36" t="n">
        <f aca="false">MAX(0,H65+D65*G65*H65/Parametros!$C$6-Parametros!$C$18*H65)</f>
        <v>625650.54518146</v>
      </c>
      <c r="I66" s="36" t="n">
        <f aca="false">I65+Parametros!$C$18*(1-F65)*H65</f>
        <v>13381800.2714543</v>
      </c>
      <c r="J66" s="36" t="n">
        <f aca="false">J65+Parametros!$C$18*F65*H65</f>
        <v>80583.1202677874</v>
      </c>
      <c r="K66" s="36" t="n">
        <f aca="false">MAX(0,G65-G66)</f>
        <v>425204.084121574</v>
      </c>
      <c r="L66" s="36" t="n">
        <f aca="false">J66-J65</f>
        <v>2773.38195471633</v>
      </c>
      <c r="M66" s="36" t="n">
        <f aca="false">IF(B66&lt;=Parametros!$C$14,0,INDEX($L$8:$L$125,B66-Parametros!$C$14))</f>
        <v>2847.22433908642</v>
      </c>
      <c r="N66" s="37" t="n">
        <f aca="false">D66/Parametros!$C$18*G66/Parametros!$C$6</f>
        <v>0.896984246707247</v>
      </c>
    </row>
    <row r="67" customFormat="false" ht="15" hidden="false" customHeight="false" outlineLevel="0" collapsed="false">
      <c r="B67" s="31" t="n">
        <f aca="false">Datos_OWID!B65</f>
        <v>60</v>
      </c>
      <c r="C67" s="32" t="n">
        <f aca="false">Datos_OWID!C65</f>
        <v>44311</v>
      </c>
      <c r="D67" s="33" t="n">
        <f aca="false">IFERROR(INDEX(Tramos_Beta!$G$6:$G$14,MATCH(B67,Tramos_Beta!$E$6:$E$14,1)),INDEX(Tramos_Beta!$G$6:$G$14,1))</f>
        <v>0.9094</v>
      </c>
      <c r="E67" s="34" t="n">
        <f aca="false">Datos_OWID!I65/Parametros!$C$6</f>
        <v>0.0201547894934785</v>
      </c>
      <c r="F67" s="35" t="n">
        <f aca="false">Parametros!$C$13*(1-E67*Parametros!$C$15)</f>
        <v>0.00591534988412739</v>
      </c>
      <c r="G67" s="36" t="n">
        <f aca="false">MAX(0,G66-D66*G66*H66/Parametros!$C$6)</f>
        <v>31029450.9850164</v>
      </c>
      <c r="H67" s="36" t="n">
        <f aca="false">MAX(0,H66+D66*G66*H66/Parametros!$C$6-Parametros!$C$18*H66)</f>
        <v>580534.241634538</v>
      </c>
      <c r="I67" s="36" t="n">
        <f aca="false">I66+Parametros!$C$18*(1-F66)*H66</f>
        <v>13817162.0540808</v>
      </c>
      <c r="J67" s="36" t="n">
        <f aca="false">J66+Parametros!$C$18*F66*H66</f>
        <v>83176.7192683091</v>
      </c>
      <c r="K67" s="36" t="n">
        <f aca="false">MAX(0,G66-G67)</f>
        <v>392839.078080099</v>
      </c>
      <c r="L67" s="36" t="n">
        <f aca="false">J67-J66</f>
        <v>2593.59900052166</v>
      </c>
      <c r="M67" s="36" t="n">
        <f aca="false">IF(B67&lt;=Parametros!$C$14,0,INDEX($L$8:$L$125,B67-Parametros!$C$14))</f>
        <v>3074.05962243601</v>
      </c>
      <c r="N67" s="37" t="n">
        <f aca="false">D67/Parametros!$C$18*G67/Parametros!$C$6</f>
        <v>0.885770217945458</v>
      </c>
    </row>
    <row r="68" customFormat="false" ht="15" hidden="false" customHeight="false" outlineLevel="0" collapsed="false">
      <c r="B68" s="31" t="n">
        <f aca="false">Datos_OWID!B66</f>
        <v>61</v>
      </c>
      <c r="C68" s="32" t="n">
        <f aca="false">Datos_OWID!C66</f>
        <v>44318</v>
      </c>
      <c r="D68" s="33" t="n">
        <f aca="false">IFERROR(INDEX(Tramos_Beta!$G$6:$G$14,MATCH(B68,Tramos_Beta!$E$6:$E$14,1)),INDEX(Tramos_Beta!$G$6:$G$14,1))</f>
        <v>0.9094</v>
      </c>
      <c r="E68" s="34" t="n">
        <f aca="false">Datos_OWID!I66/Parametros!$C$6</f>
        <v>0.0227647906879327</v>
      </c>
      <c r="F68" s="35" t="n">
        <f aca="false">Parametros!$C$13*(1-E68*Parametros!$C$15)</f>
        <v>0.00590438787911068</v>
      </c>
      <c r="G68" s="36" t="n">
        <f aca="false">MAX(0,G67-D67*G67*H67/Parametros!$C$6)</f>
        <v>30669497.0258002</v>
      </c>
      <c r="H68" s="36" t="n">
        <f aca="false">MAX(0,H67+D67*G67*H67/Parametros!$C$6-Parametros!$C$18*H67)</f>
        <v>534114.231706559</v>
      </c>
      <c r="I68" s="36" t="n">
        <f aca="false">I67+Parametros!$C$18*(1-F67)*H67</f>
        <v>14221132.1790137</v>
      </c>
      <c r="J68" s="36" t="n">
        <f aca="false">J67+Parametros!$C$18*F67*H67</f>
        <v>85580.5634795985</v>
      </c>
      <c r="K68" s="36" t="n">
        <f aca="false">MAX(0,G67-G68)</f>
        <v>359953.9592162</v>
      </c>
      <c r="L68" s="36" t="n">
        <f aca="false">J68-J67</f>
        <v>2403.8442112894</v>
      </c>
      <c r="M68" s="36" t="n">
        <f aca="false">IF(B68&lt;=Parametros!$C$14,0,INDEX($L$8:$L$125,B68-Parametros!$C$14))</f>
        <v>2935.44464298621</v>
      </c>
      <c r="N68" s="37" t="n">
        <f aca="false">D68/Parametros!$C$18*G68/Parametros!$C$6</f>
        <v>0.875494931506803</v>
      </c>
    </row>
    <row r="69" customFormat="false" ht="15" hidden="false" customHeight="false" outlineLevel="0" collapsed="false">
      <c r="B69" s="31" t="n">
        <f aca="false">Datos_OWID!B67</f>
        <v>62</v>
      </c>
      <c r="C69" s="32" t="n">
        <f aca="false">Datos_OWID!C67</f>
        <v>44325</v>
      </c>
      <c r="D69" s="33" t="n">
        <f aca="false">IFERROR(INDEX(Tramos_Beta!$G$6:$G$14,MATCH(B69,Tramos_Beta!$E$6:$E$14,1)),INDEX(Tramos_Beta!$G$6:$G$14,1))</f>
        <v>0.9094</v>
      </c>
      <c r="E69" s="34" t="n">
        <f aca="false">Datos_OWID!I67/Parametros!$C$6</f>
        <v>0.0328309462266188</v>
      </c>
      <c r="F69" s="35" t="n">
        <f aca="false">Parametros!$C$13*(1-E69*Parametros!$C$15)</f>
        <v>0.0058621100258482</v>
      </c>
      <c r="G69" s="36" t="n">
        <f aca="false">MAX(0,G68-D68*G68*H68/Parametros!$C$6)</f>
        <v>30342167.0139068</v>
      </c>
      <c r="H69" s="36" t="n">
        <f aca="false">MAX(0,H68+D68*G68*H68/Parametros!$C$6-Parametros!$C$18*H68)</f>
        <v>487564.281405288</v>
      </c>
      <c r="I69" s="36" t="n">
        <f aca="false">I68+Parametros!$C$18*(1-F68)*H68</f>
        <v>14592804.6088912</v>
      </c>
      <c r="J69" s="36" t="n">
        <f aca="false">J68+Parametros!$C$18*F68*H68</f>
        <v>87788.0957966226</v>
      </c>
      <c r="K69" s="36" t="n">
        <f aca="false">MAX(0,G68-G69)</f>
        <v>327330.011893321</v>
      </c>
      <c r="L69" s="36" t="n">
        <f aca="false">J69-J68</f>
        <v>2207.5323170241</v>
      </c>
      <c r="M69" s="36" t="n">
        <f aca="false">IF(B69&lt;=Parametros!$C$14,0,INDEX($L$8:$L$125,B69-Parametros!$C$14))</f>
        <v>2773.38195471633</v>
      </c>
      <c r="N69" s="37" t="n">
        <f aca="false">D69/Parametros!$C$18*G69/Parametros!$C$6</f>
        <v>0.866150931958927</v>
      </c>
    </row>
    <row r="70" customFormat="false" ht="15" hidden="false" customHeight="false" outlineLevel="0" collapsed="false">
      <c r="B70" s="31" t="n">
        <f aca="false">Datos_OWID!B68</f>
        <v>63</v>
      </c>
      <c r="C70" s="32" t="n">
        <f aca="false">Datos_OWID!C68</f>
        <v>44332</v>
      </c>
      <c r="D70" s="33" t="n">
        <f aca="false">IFERROR(INDEX(Tramos_Beta!$G$6:$G$14,MATCH(B70,Tramos_Beta!$E$6:$E$14,1)),INDEX(Tramos_Beta!$G$6:$G$14,1))</f>
        <v>0.9094</v>
      </c>
      <c r="E70" s="34" t="n">
        <f aca="false">Datos_OWID!I68/Parametros!$C$6</f>
        <v>0.047737388114398</v>
      </c>
      <c r="F70" s="35" t="n">
        <f aca="false">Parametros!$C$13*(1-E70*Parametros!$C$15)</f>
        <v>0.00579950296991953</v>
      </c>
      <c r="G70" s="36" t="n">
        <f aca="false">MAX(0,G69-D69*G69*H69/Parametros!$C$6)</f>
        <v>30046554.0341965</v>
      </c>
      <c r="H70" s="36" t="n">
        <f aca="false">MAX(0,H69+D69*G69*H69/Parametros!$C$6-Parametros!$C$18*H69)</f>
        <v>441882.264131938</v>
      </c>
      <c r="I70" s="36" t="n">
        <f aca="false">I69+Parametros!$C$18*(1-F69)*H69</f>
        <v>14932098.8970514</v>
      </c>
      <c r="J70" s="36" t="n">
        <f aca="false">J69+Parametros!$C$18*F69*H69</f>
        <v>89788.8046202126</v>
      </c>
      <c r="K70" s="36" t="n">
        <f aca="false">MAX(0,G69-G70)</f>
        <v>295612.979710352</v>
      </c>
      <c r="L70" s="36" t="n">
        <f aca="false">J70-J69</f>
        <v>2000.70882358999</v>
      </c>
      <c r="M70" s="36" t="n">
        <f aca="false">IF(B70&lt;=Parametros!$C$14,0,INDEX($L$8:$L$125,B70-Parametros!$C$14))</f>
        <v>2593.59900052166</v>
      </c>
      <c r="N70" s="37" t="n">
        <f aca="false">D70/Parametros!$C$18*G70/Parametros!$C$6</f>
        <v>0.857712330399653</v>
      </c>
    </row>
    <row r="71" customFormat="false" ht="15" hidden="false" customHeight="false" outlineLevel="0" collapsed="false">
      <c r="B71" s="31" t="n">
        <f aca="false">Datos_OWID!B69</f>
        <v>64</v>
      </c>
      <c r="C71" s="32" t="n">
        <f aca="false">Datos_OWID!C69</f>
        <v>44339</v>
      </c>
      <c r="D71" s="33" t="n">
        <f aca="false">IFERROR(INDEX(Tramos_Beta!$G$6:$G$14,MATCH(B71,Tramos_Beta!$E$6:$E$14,1)),INDEX(Tramos_Beta!$G$6:$G$14,1))</f>
        <v>0.9094</v>
      </c>
      <c r="E71" s="34" t="n">
        <f aca="false">Datos_OWID!I69/Parametros!$C$6</f>
        <v>0.0559054029147321</v>
      </c>
      <c r="F71" s="35" t="n">
        <f aca="false">Parametros!$C$13*(1-E71*Parametros!$C$15)</f>
        <v>0.00576519730775813</v>
      </c>
      <c r="G71" s="36" t="n">
        <f aca="false">MAX(0,G70-D70*G70*H70/Parametros!$C$6)</f>
        <v>29781248.5276249</v>
      </c>
      <c r="H71" s="36" t="n">
        <f aca="false">MAX(0,H70+D70*G70*H70/Parametros!$C$6-Parametros!$C$18*H70)</f>
        <v>397870.185811197</v>
      </c>
      <c r="I71" s="36" t="n">
        <f aca="false">I70+Parametros!$C$18*(1-F70)*H70</f>
        <v>15239622.5936915</v>
      </c>
      <c r="J71" s="36" t="n">
        <f aca="false">J70+Parametros!$C$18*F70*H70</f>
        <v>91582.6928724441</v>
      </c>
      <c r="K71" s="36" t="n">
        <f aca="false">MAX(0,G70-G71)</f>
        <v>265305.506571617</v>
      </c>
      <c r="L71" s="36" t="n">
        <f aca="false">J71-J70</f>
        <v>1793.88825223155</v>
      </c>
      <c r="M71" s="36" t="n">
        <f aca="false">IF(B71&lt;=Parametros!$C$14,0,INDEX($L$8:$L$125,B71-Parametros!$C$14))</f>
        <v>2403.8442112894</v>
      </c>
      <c r="N71" s="37" t="n">
        <f aca="false">D71/Parametros!$C$18*G71/Parametros!$C$6</f>
        <v>0.850138889397054</v>
      </c>
    </row>
    <row r="72" customFormat="false" ht="15" hidden="false" customHeight="false" outlineLevel="0" collapsed="false">
      <c r="B72" s="31" t="n">
        <f aca="false">Datos_OWID!B70</f>
        <v>65</v>
      </c>
      <c r="C72" s="32" t="n">
        <f aca="false">Datos_OWID!C70</f>
        <v>44346</v>
      </c>
      <c r="D72" s="33" t="n">
        <f aca="false">IFERROR(INDEX(Tramos_Beta!$G$6:$G$14,MATCH(B72,Tramos_Beta!$E$6:$E$14,1)),INDEX(Tramos_Beta!$G$6:$G$14,1))</f>
        <v>0.9094</v>
      </c>
      <c r="E72" s="34" t="n">
        <f aca="false">Datos_OWID!I70/Parametros!$C$6</f>
        <v>0.064513515658557</v>
      </c>
      <c r="F72" s="35" t="n">
        <f aca="false">Parametros!$C$13*(1-E72*Parametros!$C$15)</f>
        <v>0.00572904323423406</v>
      </c>
      <c r="G72" s="36" t="n">
        <f aca="false">MAX(0,G71-D71*G71*H71/Parametros!$C$6)</f>
        <v>29544477.0851021</v>
      </c>
      <c r="H72" s="36" t="n">
        <f aca="false">MAX(0,H71+D71*G71*H71/Parametros!$C$6-Parametros!$C$18*H71)</f>
        <v>356132.498266171</v>
      </c>
      <c r="I72" s="36" t="n">
        <f aca="false">I71+Parametros!$C$18*(1-F71)*H71</f>
        <v>15516526.0636725</v>
      </c>
      <c r="J72" s="36" t="n">
        <f aca="false">J71+Parametros!$C$18*F71*H71</f>
        <v>93188.3529592973</v>
      </c>
      <c r="K72" s="36" t="n">
        <f aca="false">MAX(0,G71-G72)</f>
        <v>236771.442522813</v>
      </c>
      <c r="L72" s="36" t="n">
        <f aca="false">J72-J71</f>
        <v>1605.66008685315</v>
      </c>
      <c r="M72" s="36" t="n">
        <f aca="false">IF(B72&lt;=Parametros!$C$14,0,INDEX($L$8:$L$125,B72-Parametros!$C$14))</f>
        <v>2207.5323170241</v>
      </c>
      <c r="N72" s="37" t="n">
        <f aca="false">D72/Parametros!$C$18*G72/Parametros!$C$6</f>
        <v>0.843379985014635</v>
      </c>
    </row>
    <row r="73" customFormat="false" ht="15" hidden="false" customHeight="false" outlineLevel="0" collapsed="false">
      <c r="B73" s="31" t="n">
        <f aca="false">Datos_OWID!B71</f>
        <v>66</v>
      </c>
      <c r="C73" s="32" t="n">
        <f aca="false">Datos_OWID!C71</f>
        <v>44353</v>
      </c>
      <c r="D73" s="33" t="n">
        <f aca="false">IFERROR(INDEX(Tramos_Beta!$G$6:$G$14,MATCH(B73,Tramos_Beta!$E$6:$E$14,1)),INDEX(Tramos_Beta!$G$6:$G$14,1))</f>
        <v>0.9094</v>
      </c>
      <c r="E73" s="34" t="n">
        <f aca="false">Datos_OWID!I71/Parametros!$C$6</f>
        <v>0.0706320614197341</v>
      </c>
      <c r="F73" s="35" t="n">
        <f aca="false">Parametros!$C$13*(1-E73*Parametros!$C$15)</f>
        <v>0.00570334534203712</v>
      </c>
      <c r="G73" s="36" t="n">
        <f aca="false">MAX(0,G72-D72*G72*H72/Parametros!$C$6)</f>
        <v>29334228.5703664</v>
      </c>
      <c r="H73" s="36" t="n">
        <f aca="false">MAX(0,H72+D72*G72*H72/Parametros!$C$6-Parametros!$C$18*H72)</f>
        <v>317088.264215515</v>
      </c>
      <c r="I73" s="36" t="n">
        <f aca="false">I72+Parametros!$C$18*(1-F72)*H72</f>
        <v>15764390.603523</v>
      </c>
      <c r="J73" s="36" t="n">
        <f aca="false">J72+Parametros!$C$18*F72*H72</f>
        <v>94616.5618950752</v>
      </c>
      <c r="K73" s="36" t="n">
        <f aca="false">MAX(0,G72-G73)</f>
        <v>210248.514735665</v>
      </c>
      <c r="L73" s="36" t="n">
        <f aca="false">J73-J72</f>
        <v>1428.20893577788</v>
      </c>
      <c r="M73" s="36" t="n">
        <f aca="false">IF(B73&lt;=Parametros!$C$14,0,INDEX($L$8:$L$125,B73-Parametros!$C$14))</f>
        <v>2000.70882358999</v>
      </c>
      <c r="N73" s="37" t="n">
        <f aca="false">D73/Parametros!$C$18*G73/Parametros!$C$6</f>
        <v>0.837378207129166</v>
      </c>
    </row>
    <row r="74" customFormat="false" ht="15" hidden="false" customHeight="false" outlineLevel="0" collapsed="false">
      <c r="B74" s="31" t="n">
        <f aca="false">Datos_OWID!B72</f>
        <v>67</v>
      </c>
      <c r="C74" s="32" t="n">
        <f aca="false">Datos_OWID!C72</f>
        <v>44360</v>
      </c>
      <c r="D74" s="33" t="n">
        <f aca="false">IFERROR(INDEX(Tramos_Beta!$G$6:$G$14,MATCH(B74,Tramos_Beta!$E$6:$E$14,1)),INDEX(Tramos_Beta!$G$6:$G$14,1))</f>
        <v>0.9094</v>
      </c>
      <c r="E74" s="34" t="n">
        <f aca="false">Datos_OWID!I72/Parametros!$C$6</f>
        <v>0.0770988798058216</v>
      </c>
      <c r="F74" s="35" t="n">
        <f aca="false">Parametros!$C$13*(1-E74*Parametros!$C$15)</f>
        <v>0.00567618470481555</v>
      </c>
      <c r="G74" s="36" t="n">
        <f aca="false">MAX(0,G73-D73*G73*H73/Parametros!$C$6)</f>
        <v>29148362.6088331</v>
      </c>
      <c r="H74" s="36" t="n">
        <f aca="false">MAX(0,H73+D73*G73*H73/Parametros!$C$6-Parametros!$C$18*H73)</f>
        <v>280992.440797995</v>
      </c>
      <c r="I74" s="36" t="n">
        <f aca="false">I73+Parametros!$C$18*(1-F73)*H73</f>
        <v>15985086.4637616</v>
      </c>
      <c r="J74" s="36" t="n">
        <f aca="false">J73+Parametros!$C$18*F73*H73</f>
        <v>95882.4866073849</v>
      </c>
      <c r="K74" s="36" t="n">
        <f aca="false">MAX(0,G73-G74)</f>
        <v>185865.961533342</v>
      </c>
      <c r="L74" s="36" t="n">
        <f aca="false">J74-J73</f>
        <v>1265.92471230973</v>
      </c>
      <c r="M74" s="36" t="n">
        <f aca="false">IF(B74&lt;=Parametros!$C$14,0,INDEX($L$8:$L$125,B74-Parametros!$C$14))</f>
        <v>1793.88825223155</v>
      </c>
      <c r="N74" s="37" t="n">
        <f aca="false">D74/Parametros!$C$18*G74/Parametros!$C$6</f>
        <v>0.832072456365624</v>
      </c>
    </row>
    <row r="75" customFormat="false" ht="15" hidden="false" customHeight="false" outlineLevel="0" collapsed="false">
      <c r="B75" s="31" t="n">
        <f aca="false">Datos_OWID!B73</f>
        <v>68</v>
      </c>
      <c r="C75" s="32" t="n">
        <f aca="false">Datos_OWID!C73</f>
        <v>44367</v>
      </c>
      <c r="D75" s="33" t="n">
        <f aca="false">IFERROR(INDEX(Tramos_Beta!$G$6:$G$14,MATCH(B75,Tramos_Beta!$E$6:$E$14,1)),INDEX(Tramos_Beta!$G$6:$G$14,1))</f>
        <v>0.9094</v>
      </c>
      <c r="E75" s="34" t="n">
        <f aca="false">Datos_OWID!I73/Parametros!$C$6</f>
        <v>0.0853855709750605</v>
      </c>
      <c r="F75" s="35" t="n">
        <f aca="false">Parametros!$C$13*(1-E75*Parametros!$C$15)</f>
        <v>0.00564138060190475</v>
      </c>
      <c r="G75" s="36" t="n">
        <f aca="false">MAX(0,G74-D74*G74*H74/Parametros!$C$6)</f>
        <v>28984698.3595286</v>
      </c>
      <c r="H75" s="36" t="n">
        <f aca="false">MAX(0,H74+D74*G74*H74/Parametros!$C$6-Parametros!$C$18*H74)</f>
        <v>247961.981543871</v>
      </c>
      <c r="I75" s="36" t="n">
        <f aca="false">I74+Parametros!$C$18*(1-F74)*H74</f>
        <v>16180664.6968239</v>
      </c>
      <c r="J75" s="36" t="n">
        <f aca="false">J74+Parametros!$C$18*F74*H74</f>
        <v>96998.9621036233</v>
      </c>
      <c r="K75" s="36" t="n">
        <f aca="false">MAX(0,G74-G75)</f>
        <v>163664.249304473</v>
      </c>
      <c r="L75" s="36" t="n">
        <f aca="false">J75-J74</f>
        <v>1116.47549623846</v>
      </c>
      <c r="M75" s="36" t="n">
        <f aca="false">IF(B75&lt;=Parametros!$C$14,0,INDEX($L$8:$L$125,B75-Parametros!$C$14))</f>
        <v>1605.66008685315</v>
      </c>
      <c r="N75" s="37" t="n">
        <f aca="false">D75/Parametros!$C$18*G75/Parametros!$C$6</f>
        <v>0.827400478190879</v>
      </c>
    </row>
    <row r="76" customFormat="false" ht="15" hidden="false" customHeight="false" outlineLevel="0" collapsed="false">
      <c r="B76" s="31" t="n">
        <f aca="false">Datos_OWID!B74</f>
        <v>69</v>
      </c>
      <c r="C76" s="32" t="n">
        <f aca="false">Datos_OWID!C74</f>
        <v>44374</v>
      </c>
      <c r="D76" s="33" t="n">
        <f aca="false">IFERROR(INDEX(Tramos_Beta!$G$6:$G$14,MATCH(B76,Tramos_Beta!$E$6:$E$14,1)),INDEX(Tramos_Beta!$G$6:$G$14,1))</f>
        <v>1.0526</v>
      </c>
      <c r="E76" s="34" t="n">
        <f aca="false">Datos_OWID!I74/Parametros!$C$6</f>
        <v>0.091863375879284</v>
      </c>
      <c r="F76" s="35" t="n">
        <f aca="false">Parametros!$C$13*(1-E76*Parametros!$C$15)</f>
        <v>0.00561417382130701</v>
      </c>
      <c r="G76" s="36" t="n">
        <f aca="false">MAX(0,G75-D75*G75*H75/Parametros!$C$6)</f>
        <v>28841083.6560568</v>
      </c>
      <c r="H76" s="36" t="n">
        <f aca="false">MAX(0,H75+D75*G75*H75/Parametros!$C$6-Parametros!$C$18*H75)</f>
        <v>218003.297934951</v>
      </c>
      <c r="I76" s="36" t="n">
        <f aca="false">I75+Parametros!$C$18*(1-F75)*H75</f>
        <v>16353258.8903657</v>
      </c>
      <c r="J76" s="36" t="n">
        <f aca="false">J75+Parametros!$C$18*F75*H75</f>
        <v>97978.1556425074</v>
      </c>
      <c r="K76" s="36" t="n">
        <f aca="false">MAX(0,G75-G76)</f>
        <v>143614.703471791</v>
      </c>
      <c r="L76" s="36" t="n">
        <f aca="false">J76-J75</f>
        <v>979.193538884021</v>
      </c>
      <c r="M76" s="36" t="n">
        <f aca="false">IF(B76&lt;=Parametros!$C$14,0,INDEX($L$8:$L$125,B76-Parametros!$C$14))</f>
        <v>1428.20893577788</v>
      </c>
      <c r="N76" s="37" t="n">
        <f aca="false">D76/Parametros!$C$18*G76/Parametros!$C$6</f>
        <v>0.952943106032236</v>
      </c>
    </row>
    <row r="77" customFormat="false" ht="15" hidden="false" customHeight="false" outlineLevel="0" collapsed="false">
      <c r="B77" s="31" t="n">
        <f aca="false">Datos_OWID!B75</f>
        <v>70</v>
      </c>
      <c r="C77" s="32" t="n">
        <f aca="false">Datos_OWID!C75</f>
        <v>44381</v>
      </c>
      <c r="D77" s="33" t="n">
        <f aca="false">IFERROR(INDEX(Tramos_Beta!$G$6:$G$14,MATCH(B77,Tramos_Beta!$E$6:$E$14,1)),INDEX(Tramos_Beta!$G$6:$G$14,1))</f>
        <v>1.0526</v>
      </c>
      <c r="E77" s="34" t="n">
        <f aca="false">Datos_OWID!I75/Parametros!$C$6</f>
        <v>0.101621315638184</v>
      </c>
      <c r="F77" s="35" t="n">
        <f aca="false">Parametros!$C$13*(1-E77*Parametros!$C$15)</f>
        <v>0.00557319047431963</v>
      </c>
      <c r="G77" s="36" t="n">
        <f aca="false">MAX(0,G76-D76*G76*H76/Parametros!$C$6)</f>
        <v>28695662.3381552</v>
      </c>
      <c r="H77" s="36" t="n">
        <f aca="false">MAX(0,H76+D76*G76*H76/Parametros!$C$6-Parametros!$C$18*H76)</f>
        <v>210822.307282067</v>
      </c>
      <c r="I77" s="36" t="n">
        <f aca="false">I76+Parametros!$C$18*(1-F76)*H76</f>
        <v>16505004.4630344</v>
      </c>
      <c r="J77" s="36" t="n">
        <f aca="false">J76+Parametros!$C$18*F76*H76</f>
        <v>98834.8915282649</v>
      </c>
      <c r="K77" s="36" t="n">
        <f aca="false">MAX(0,G76-G77)</f>
        <v>145421.317901582</v>
      </c>
      <c r="L77" s="36" t="n">
        <f aca="false">J77-J76</f>
        <v>856.735885757487</v>
      </c>
      <c r="M77" s="36" t="n">
        <f aca="false">IF(B77&lt;=Parametros!$C$14,0,INDEX($L$8:$L$125,B77-Parametros!$C$14))</f>
        <v>1265.92471230973</v>
      </c>
      <c r="N77" s="37" t="n">
        <f aca="false">D77/Parametros!$C$18*G77/Parametros!$C$6</f>
        <v>0.948138215757757</v>
      </c>
    </row>
    <row r="78" customFormat="false" ht="15" hidden="false" customHeight="false" outlineLevel="0" collapsed="false">
      <c r="B78" s="31" t="n">
        <f aca="false">Datos_OWID!B76</f>
        <v>71</v>
      </c>
      <c r="C78" s="32" t="n">
        <f aca="false">Datos_OWID!C76</f>
        <v>44388</v>
      </c>
      <c r="D78" s="33" t="n">
        <f aca="false">IFERROR(INDEX(Tramos_Beta!$G$6:$G$14,MATCH(B78,Tramos_Beta!$E$6:$E$14,1)),INDEX(Tramos_Beta!$G$6:$G$14,1))</f>
        <v>1.0526</v>
      </c>
      <c r="E78" s="34" t="n">
        <f aca="false">Datos_OWID!I76/Parametros!$C$6</f>
        <v>0.115116429406216</v>
      </c>
      <c r="F78" s="35" t="n">
        <f aca="false">Parametros!$C$13*(1-E78*Parametros!$C$15)</f>
        <v>0.0055165109964939</v>
      </c>
      <c r="G78" s="36" t="n">
        <f aca="false">MAX(0,G77-D77*G77*H77/Parametros!$C$6)</f>
        <v>28555740.2577674</v>
      </c>
      <c r="H78" s="36" t="n">
        <f aca="false">MAX(0,H77+D77*G77*H77/Parametros!$C$6-Parametros!$C$18*H77)</f>
        <v>203168.772572467</v>
      </c>
      <c r="I78" s="36" t="n">
        <f aca="false">I77+Parametros!$C$18*(1-F77)*H77</f>
        <v>16651757.6111196</v>
      </c>
      <c r="J78" s="36" t="n">
        <f aca="false">J77+Parametros!$C$18*F77*H77</f>
        <v>99657.3585405678</v>
      </c>
      <c r="K78" s="36" t="n">
        <f aca="false">MAX(0,G77-G78)</f>
        <v>139922.080387846</v>
      </c>
      <c r="L78" s="36" t="n">
        <f aca="false">J78-J77</f>
        <v>822.46701230295</v>
      </c>
      <c r="M78" s="36" t="n">
        <f aca="false">IF(B78&lt;=Parametros!$C$14,0,INDEX($L$8:$L$125,B78-Parametros!$C$14))</f>
        <v>1116.47549623846</v>
      </c>
      <c r="N78" s="37" t="n">
        <f aca="false">D78/Parametros!$C$18*G78/Parametros!$C$6</f>
        <v>0.943515026716824</v>
      </c>
    </row>
    <row r="79" customFormat="false" ht="15" hidden="false" customHeight="false" outlineLevel="0" collapsed="false">
      <c r="B79" s="31" t="n">
        <f aca="false">Datos_OWID!B77</f>
        <v>72</v>
      </c>
      <c r="C79" s="32" t="n">
        <f aca="false">Datos_OWID!C77</f>
        <v>44395</v>
      </c>
      <c r="D79" s="33" t="n">
        <f aca="false">IFERROR(INDEX(Tramos_Beta!$G$6:$G$14,MATCH(B79,Tramos_Beta!$E$6:$E$14,1)),INDEX(Tramos_Beta!$G$6:$G$14,1))</f>
        <v>1.0526</v>
      </c>
      <c r="E79" s="34" t="n">
        <f aca="false">Datos_OWID!I77/Parametros!$C$6</f>
        <v>0.123432037091188</v>
      </c>
      <c r="F79" s="35" t="n">
        <f aca="false">Parametros!$C$13*(1-E79*Parametros!$C$15)</f>
        <v>0.00548158544421701</v>
      </c>
      <c r="G79" s="36" t="n">
        <f aca="false">MAX(0,G78-D78*G78*H78/Parametros!$C$6)</f>
        <v>28421555.3048502</v>
      </c>
      <c r="H79" s="36" t="n">
        <f aca="false">MAX(0,H78+D78*G78*H78/Parametros!$C$6-Parametros!$C$18*H78)</f>
        <v>195135.584688955</v>
      </c>
      <c r="I79" s="36" t="n">
        <f aca="false">I78+Parametros!$C$18*(1-F78)*H78</f>
        <v>16793191.2039827</v>
      </c>
      <c r="J79" s="36" t="n">
        <f aca="false">J78+Parametros!$C$18*F78*H78</f>
        <v>100441.906478196</v>
      </c>
      <c r="K79" s="36" t="n">
        <f aca="false">MAX(0,G78-G79)</f>
        <v>134184.952917214</v>
      </c>
      <c r="L79" s="36" t="n">
        <f aca="false">J79-J78</f>
        <v>784.547937628129</v>
      </c>
      <c r="M79" s="36" t="n">
        <f aca="false">IF(B79&lt;=Parametros!$C$14,0,INDEX($L$8:$L$125,B79-Parametros!$C$14))</f>
        <v>979.193538884021</v>
      </c>
      <c r="N79" s="37" t="n">
        <f aca="false">D79/Parametros!$C$18*G79/Parametros!$C$6</f>
        <v>0.9390813990716</v>
      </c>
    </row>
    <row r="80" customFormat="false" ht="15" hidden="false" customHeight="false" outlineLevel="0" collapsed="false">
      <c r="B80" s="31" t="n">
        <f aca="false">Datos_OWID!B78</f>
        <v>73</v>
      </c>
      <c r="C80" s="32" t="n">
        <f aca="false">Datos_OWID!C78</f>
        <v>44402</v>
      </c>
      <c r="D80" s="33" t="n">
        <f aca="false">IFERROR(INDEX(Tramos_Beta!$G$6:$G$14,MATCH(B80,Tramos_Beta!$E$6:$E$14,1)),INDEX(Tramos_Beta!$G$6:$G$14,1))</f>
        <v>1.0526</v>
      </c>
      <c r="E80" s="34" t="n">
        <f aca="false">Datos_OWID!I78/Parametros!$C$6</f>
        <v>0.136771911357959</v>
      </c>
      <c r="F80" s="35" t="n">
        <f aca="false">Parametros!$C$13*(1-E80*Parametros!$C$15)</f>
        <v>0.00542555797229657</v>
      </c>
      <c r="G80" s="36" t="n">
        <f aca="false">MAX(0,G79-D79*G79*H79/Parametros!$C$6)</f>
        <v>28293281.5663353</v>
      </c>
      <c r="H80" s="36" t="n">
        <f aca="false">MAX(0,H79+D79*G79*H79/Parametros!$C$6-Parametros!$C$18*H79)</f>
        <v>186814.413921538</v>
      </c>
      <c r="I80" s="36" t="n">
        <f aca="false">I79+Parametros!$C$18*(1-F79)*H79</f>
        <v>16929037.3565985</v>
      </c>
      <c r="J80" s="36" t="n">
        <f aca="false">J79+Parametros!$C$18*F79*H79</f>
        <v>101190.663144672</v>
      </c>
      <c r="K80" s="36" t="n">
        <f aca="false">MAX(0,G79-G80)</f>
        <v>128273.738514852</v>
      </c>
      <c r="L80" s="36" t="n">
        <f aca="false">J80-J79</f>
        <v>748.75666647582</v>
      </c>
      <c r="M80" s="36" t="n">
        <f aca="false">IF(B80&lt;=Parametros!$C$14,0,INDEX($L$8:$L$125,B80-Parametros!$C$14))</f>
        <v>856.735885757487</v>
      </c>
      <c r="N80" s="37" t="n">
        <f aca="false">D80/Parametros!$C$18*G80/Parametros!$C$6</f>
        <v>0.934843084857736</v>
      </c>
    </row>
    <row r="81" customFormat="false" ht="15" hidden="false" customHeight="false" outlineLevel="0" collapsed="false">
      <c r="B81" s="31" t="n">
        <f aca="false">Datos_OWID!B79</f>
        <v>74</v>
      </c>
      <c r="C81" s="32" t="n">
        <f aca="false">Datos_OWID!C79</f>
        <v>44409</v>
      </c>
      <c r="D81" s="33" t="n">
        <f aca="false">IFERROR(INDEX(Tramos_Beta!$G$6:$G$14,MATCH(B81,Tramos_Beta!$E$6:$E$14,1)),INDEX(Tramos_Beta!$G$6:$G$14,1))</f>
        <v>1.0526</v>
      </c>
      <c r="E81" s="34" t="n">
        <f aca="false">Datos_OWID!I79/Parametros!$C$6</f>
        <v>0.164057500447591</v>
      </c>
      <c r="F81" s="35" t="n">
        <f aca="false">Parametros!$C$13*(1-E81*Parametros!$C$15)</f>
        <v>0.00531095849812012</v>
      </c>
      <c r="G81" s="36" t="n">
        <f aca="false">MAX(0,G80-D80*G80*H80/Parametros!$C$6)</f>
        <v>28171032.0522309</v>
      </c>
      <c r="H81" s="36" t="n">
        <f aca="false">MAX(0,H80+D80*G80*H80/Parametros!$C$6-Parametros!$C$18*H80)</f>
        <v>178293.838280871</v>
      </c>
      <c r="I81" s="36" t="n">
        <f aca="false">I80+Parametros!$C$18*(1-F80)*H80</f>
        <v>17059097.9456406</v>
      </c>
      <c r="J81" s="36" t="n">
        <f aca="false">J80+Parametros!$C$18*F80*H80</f>
        <v>101900.163847626</v>
      </c>
      <c r="K81" s="36" t="n">
        <f aca="false">MAX(0,G80-G81)</f>
        <v>122249.514104411</v>
      </c>
      <c r="L81" s="36" t="n">
        <f aca="false">J81-J80</f>
        <v>709.500702954334</v>
      </c>
      <c r="M81" s="36" t="n">
        <f aca="false">IF(B81&lt;=Parametros!$C$14,0,INDEX($L$8:$L$125,B81-Parametros!$C$14))</f>
        <v>822.46701230295</v>
      </c>
      <c r="N81" s="37" t="n">
        <f aca="false">D81/Parametros!$C$18*G81/Parametros!$C$6</f>
        <v>0.930803818057956</v>
      </c>
    </row>
    <row r="82" customFormat="false" ht="15" hidden="false" customHeight="false" outlineLevel="0" collapsed="false">
      <c r="B82" s="31" t="n">
        <f aca="false">Datos_OWID!B80</f>
        <v>75</v>
      </c>
      <c r="C82" s="32" t="n">
        <f aca="false">Datos_OWID!C80</f>
        <v>44416</v>
      </c>
      <c r="D82" s="33" t="n">
        <f aca="false">IFERROR(INDEX(Tramos_Beta!$G$6:$G$14,MATCH(B82,Tramos_Beta!$E$6:$E$14,1)),INDEX(Tramos_Beta!$G$6:$G$14,1))</f>
        <v>1.0526</v>
      </c>
      <c r="E82" s="34" t="n">
        <f aca="false">Datos_OWID!I80/Parametros!$C$6</f>
        <v>0.196847708664961</v>
      </c>
      <c r="F82" s="35" t="n">
        <f aca="false">Parametros!$C$13*(1-E82*Parametros!$C$15)</f>
        <v>0.00517323962360716</v>
      </c>
      <c r="G82" s="36" t="n">
        <f aca="false">MAX(0,G81-D81*G81*H81/Parametros!$C$6)</f>
        <v>28054862.4424453</v>
      </c>
      <c r="H82" s="36" t="n">
        <f aca="false">MAX(0,H81+D81*G81*H81/Parametros!$C$6-Parametros!$C$18*H81)</f>
        <v>169657.761269891</v>
      </c>
      <c r="I82" s="36" t="n">
        <f aca="false">I81+Parametros!$C$18*(1-F81)*H81</f>
        <v>17183240.7946143</v>
      </c>
      <c r="J82" s="36" t="n">
        <f aca="false">J81+Parametros!$C$18*F81*H81</f>
        <v>102563.001670532</v>
      </c>
      <c r="K82" s="36" t="n">
        <f aca="false">MAX(0,G81-G82)</f>
        <v>116169.609785631</v>
      </c>
      <c r="L82" s="36" t="n">
        <f aca="false">J82-J81</f>
        <v>662.837822906178</v>
      </c>
      <c r="M82" s="36" t="n">
        <f aca="false">IF(B82&lt;=Parametros!$C$14,0,INDEX($L$8:$L$125,B82-Parametros!$C$14))</f>
        <v>784.547937628129</v>
      </c>
      <c r="N82" s="37" t="n">
        <f aca="false">D82/Parametros!$C$18*G82/Parametros!$C$6</f>
        <v>0.926965438401496</v>
      </c>
    </row>
    <row r="83" customFormat="false" ht="15" hidden="false" customHeight="false" outlineLevel="0" collapsed="false">
      <c r="B83" s="31" t="n">
        <f aca="false">Datos_OWID!B81</f>
        <v>76</v>
      </c>
      <c r="C83" s="32" t="n">
        <f aca="false">Datos_OWID!C81</f>
        <v>44423</v>
      </c>
      <c r="D83" s="33" t="n">
        <f aca="false">IFERROR(INDEX(Tramos_Beta!$G$6:$G$14,MATCH(B83,Tramos_Beta!$E$6:$E$14,1)),INDEX(Tramos_Beta!$G$6:$G$14,1))</f>
        <v>1.0526</v>
      </c>
      <c r="E83" s="34" t="n">
        <f aca="false">Datos_OWID!I81/Parametros!$C$6</f>
        <v>0.222139024982551</v>
      </c>
      <c r="F83" s="35" t="n">
        <f aca="false">Parametros!$C$13*(1-E83*Parametros!$C$15)</f>
        <v>0.00506701609507329</v>
      </c>
      <c r="G83" s="36" t="n">
        <f aca="false">MAX(0,G82-D82*G82*H82/Parametros!$C$6)</f>
        <v>27944775.6257076</v>
      </c>
      <c r="H83" s="36" t="n">
        <f aca="false">MAX(0,H82+D82*G82*H82/Parametros!$C$6-Parametros!$C$18*H82)</f>
        <v>160984.1451186</v>
      </c>
      <c r="I83" s="36" t="n">
        <f aca="false">I82+Parametros!$C$18*(1-F82)*H82</f>
        <v>17301386.8513261</v>
      </c>
      <c r="J83" s="36" t="n">
        <f aca="false">J82+Parametros!$C$18*F82*H82</f>
        <v>103177.37784767</v>
      </c>
      <c r="K83" s="36" t="n">
        <f aca="false">MAX(0,G82-G83)</f>
        <v>110086.816737633</v>
      </c>
      <c r="L83" s="36" t="n">
        <f aca="false">J83-J82</f>
        <v>614.376177137718</v>
      </c>
      <c r="M83" s="36" t="n">
        <f aca="false">IF(B83&lt;=Parametros!$C$14,0,INDEX($L$8:$L$125,B83-Parametros!$C$14))</f>
        <v>748.75666647582</v>
      </c>
      <c r="N83" s="37" t="n">
        <f aca="false">D83/Parametros!$C$18*G83/Parametros!$C$6</f>
        <v>0.923328041335345</v>
      </c>
    </row>
    <row r="84" customFormat="false" ht="15" hidden="false" customHeight="false" outlineLevel="0" collapsed="false">
      <c r="B84" s="31" t="n">
        <f aca="false">Datos_OWID!B82</f>
        <v>77</v>
      </c>
      <c r="C84" s="32" t="n">
        <f aca="false">Datos_OWID!C82</f>
        <v>44430</v>
      </c>
      <c r="D84" s="33" t="n">
        <f aca="false">IFERROR(INDEX(Tramos_Beta!$G$6:$G$14,MATCH(B84,Tramos_Beta!$E$6:$E$14,1)),INDEX(Tramos_Beta!$G$6:$G$14,1))</f>
        <v>1.0526</v>
      </c>
      <c r="E84" s="34" t="n">
        <f aca="false">Datos_OWID!I82/Parametros!$C$6</f>
        <v>0.249211124051765</v>
      </c>
      <c r="F84" s="35" t="n">
        <f aca="false">Parametros!$C$13*(1-E84*Parametros!$C$15)</f>
        <v>0.00495331327898259</v>
      </c>
      <c r="G84" s="36" t="n">
        <f aca="false">MAX(0,G83-D83*G83*H83/Parametros!$C$6)</f>
        <v>27840726.8029287</v>
      </c>
      <c r="H84" s="36" t="n">
        <f aca="false">MAX(0,H83+D83*G83*H83/Parametros!$C$6-Parametros!$C$18*H83)</f>
        <v>152344.066314462</v>
      </c>
      <c r="I84" s="36" t="n">
        <f aca="false">I83+Parametros!$C$18*(1-F83)*H83</f>
        <v>17413504.7564311</v>
      </c>
      <c r="J84" s="36" t="n">
        <f aca="false">J83+Parametros!$C$18*F83*H83</f>
        <v>103748.374325727</v>
      </c>
      <c r="K84" s="36" t="n">
        <f aca="false">MAX(0,G83-G84)</f>
        <v>104048.822778881</v>
      </c>
      <c r="L84" s="36" t="n">
        <f aca="false">J84-J83</f>
        <v>570.996478057292</v>
      </c>
      <c r="M84" s="36" t="n">
        <f aca="false">IF(B84&lt;=Parametros!$C$14,0,INDEX($L$8:$L$125,B84-Parametros!$C$14))</f>
        <v>709.500702954334</v>
      </c>
      <c r="N84" s="37" t="n">
        <f aca="false">D84/Parametros!$C$18*G84/Parametros!$C$6</f>
        <v>0.919890146645244</v>
      </c>
    </row>
    <row r="85" customFormat="false" ht="15" hidden="false" customHeight="false" outlineLevel="0" collapsed="false">
      <c r="B85" s="31" t="n">
        <f aca="false">Datos_OWID!B83</f>
        <v>78</v>
      </c>
      <c r="C85" s="32" t="n">
        <f aca="false">Datos_OWID!C83</f>
        <v>44437</v>
      </c>
      <c r="D85" s="33" t="n">
        <f aca="false">IFERROR(INDEX(Tramos_Beta!$G$6:$G$14,MATCH(B85,Tramos_Beta!$E$6:$E$14,1)),INDEX(Tramos_Beta!$G$6:$G$14,1))</f>
        <v>1.0526</v>
      </c>
      <c r="E85" s="34" t="n">
        <f aca="false">Datos_OWID!I83/Parametros!$C$6</f>
        <v>0.290257414998847</v>
      </c>
      <c r="F85" s="35" t="n">
        <f aca="false">Parametros!$C$13*(1-E85*Parametros!$C$15)</f>
        <v>0.00478091885700484</v>
      </c>
      <c r="G85" s="36" t="n">
        <f aca="false">MAX(0,G84-D84*G84*H84/Parametros!$C$6)</f>
        <v>27742628.939077</v>
      </c>
      <c r="H85" s="36" t="n">
        <f aca="false">MAX(0,H84+D84*G84*H84/Parametros!$C$6-Parametros!$C$18*H84)</f>
        <v>143801.083746118</v>
      </c>
      <c r="I85" s="36" t="n">
        <f aca="false">I84+Parametros!$C$18*(1-F84)*H84</f>
        <v>17519617.3773305</v>
      </c>
      <c r="J85" s="36" t="n">
        <f aca="false">J84+Parametros!$C$18*F84*H84</f>
        <v>104276.599846382</v>
      </c>
      <c r="K85" s="36" t="n">
        <f aca="false">MAX(0,G84-G85)</f>
        <v>98097.8638517782</v>
      </c>
      <c r="L85" s="36" t="n">
        <f aca="false">J85-J84</f>
        <v>528.225520654742</v>
      </c>
      <c r="M85" s="36" t="n">
        <f aca="false">IF(B85&lt;=Parametros!$C$14,0,INDEX($L$8:$L$125,B85-Parametros!$C$14))</f>
        <v>662.837822906178</v>
      </c>
      <c r="N85" s="37" t="n">
        <f aca="false">D85/Parametros!$C$18*G85/Parametros!$C$6</f>
        <v>0.916648878592044</v>
      </c>
    </row>
    <row r="86" customFormat="false" ht="15" hidden="false" customHeight="false" outlineLevel="0" collapsed="false">
      <c r="B86" s="31" t="n">
        <f aca="false">Datos_OWID!B84</f>
        <v>79</v>
      </c>
      <c r="C86" s="32" t="n">
        <f aca="false">Datos_OWID!C84</f>
        <v>44444</v>
      </c>
      <c r="D86" s="33" t="n">
        <f aca="false">IFERROR(INDEX(Tramos_Beta!$G$6:$G$14,MATCH(B86,Tramos_Beta!$E$6:$E$14,1)),INDEX(Tramos_Beta!$G$6:$G$14,1))</f>
        <v>1.0526</v>
      </c>
      <c r="E86" s="34" t="n">
        <f aca="false">Datos_OWID!I84/Parametros!$C$6</f>
        <v>0.332490052147289</v>
      </c>
      <c r="F86" s="35" t="n">
        <f aca="false">Parametros!$C$13*(1-E86*Parametros!$C$15)</f>
        <v>0.00460354178098139</v>
      </c>
      <c r="G86" s="36" t="n">
        <f aca="false">MAX(0,G85-D85*G85*H85/Parametros!$C$6)</f>
        <v>27650358.3675676</v>
      </c>
      <c r="H86" s="36" t="n">
        <f aca="false">MAX(0,H85+D85*G85*H85/Parametros!$C$6-Parametros!$C$18*H85)</f>
        <v>135410.896633176</v>
      </c>
      <c r="I86" s="36" t="n">
        <f aca="false">I85+Parametros!$C$18*(1-F85)*H85</f>
        <v>17619796.8850338</v>
      </c>
      <c r="J86" s="36" t="n">
        <f aca="false">J85+Parametros!$C$18*F85*H85</f>
        <v>104757.85076544</v>
      </c>
      <c r="K86" s="36" t="n">
        <f aca="false">MAX(0,G85-G86)</f>
        <v>92270.5715093389</v>
      </c>
      <c r="L86" s="36" t="n">
        <f aca="false">J86-J85</f>
        <v>481.250919057682</v>
      </c>
      <c r="M86" s="36" t="n">
        <f aca="false">IF(B86&lt;=Parametros!$C$14,0,INDEX($L$8:$L$125,B86-Parametros!$C$14))</f>
        <v>614.376177137718</v>
      </c>
      <c r="N86" s="37" t="n">
        <f aca="false">D86/Parametros!$C$18*G86/Parametros!$C$6</f>
        <v>0.913600151087278</v>
      </c>
    </row>
    <row r="87" customFormat="false" ht="15" hidden="false" customHeight="false" outlineLevel="0" collapsed="false">
      <c r="B87" s="31" t="n">
        <f aca="false">Datos_OWID!B85</f>
        <v>80</v>
      </c>
      <c r="C87" s="32" t="n">
        <f aca="false">Datos_OWID!C85</f>
        <v>44451</v>
      </c>
      <c r="D87" s="33" t="n">
        <f aca="false">IFERROR(INDEX(Tramos_Beta!$G$6:$G$14,MATCH(B87,Tramos_Beta!$E$6:$E$14,1)),INDEX(Tramos_Beta!$G$6:$G$14,1))</f>
        <v>1.0526</v>
      </c>
      <c r="E87" s="34" t="n">
        <f aca="false">Datos_OWID!I85/Parametros!$C$6</f>
        <v>0.370676816100013</v>
      </c>
      <c r="F87" s="35" t="n">
        <f aca="false">Parametros!$C$13*(1-E87*Parametros!$C$15)</f>
        <v>0.00444315737237995</v>
      </c>
      <c r="G87" s="36" t="n">
        <f aca="false">MAX(0,G86-D86*G86*H86/Parametros!$C$6)</f>
        <v>27563760.3766316</v>
      </c>
      <c r="H87" s="36" t="n">
        <f aca="false">MAX(0,H86+D86*G86*H86/Parametros!$C$6-Parametros!$C$18*H86)</f>
        <v>127221.259926006</v>
      </c>
      <c r="I87" s="36" t="n">
        <f aca="false">I86+Parametros!$C$18*(1-F86)*H86</f>
        <v>17714148.1538728</v>
      </c>
      <c r="J87" s="36" t="n">
        <f aca="false">J86+Parametros!$C$18*F86*H86</f>
        <v>105194.209569615</v>
      </c>
      <c r="K87" s="36" t="n">
        <f aca="false">MAX(0,G86-G87)</f>
        <v>86597.9909360521</v>
      </c>
      <c r="L87" s="36" t="n">
        <f aca="false">J87-J86</f>
        <v>436.358804175688</v>
      </c>
      <c r="M87" s="36" t="n">
        <f aca="false">IF(B87&lt;=Parametros!$C$14,0,INDEX($L$8:$L$125,B87-Parametros!$C$14))</f>
        <v>570.996478057292</v>
      </c>
      <c r="N87" s="37" t="n">
        <f aca="false">D87/Parametros!$C$18*G87/Parametros!$C$6</f>
        <v>0.910738852273306</v>
      </c>
    </row>
    <row r="88" customFormat="false" ht="15" hidden="false" customHeight="false" outlineLevel="0" collapsed="false">
      <c r="B88" s="31" t="n">
        <f aca="false">Datos_OWID!B86</f>
        <v>81</v>
      </c>
      <c r="C88" s="32" t="n">
        <f aca="false">Datos_OWID!C86</f>
        <v>44458</v>
      </c>
      <c r="D88" s="33" t="n">
        <f aca="false">IFERROR(INDEX(Tramos_Beta!$G$6:$G$14,MATCH(B88,Tramos_Beta!$E$6:$E$14,1)),INDEX(Tramos_Beta!$G$6:$G$14,1))</f>
        <v>1.0526</v>
      </c>
      <c r="E88" s="34" t="n">
        <f aca="false">Datos_OWID!I86/Parametros!$C$6</f>
        <v>0.405766678347533</v>
      </c>
      <c r="F88" s="35" t="n">
        <f aca="false">Parametros!$C$13*(1-E88*Parametros!$C$15)</f>
        <v>0.00429577995094036</v>
      </c>
      <c r="G88" s="36" t="n">
        <f aca="false">MAX(0,G87-D87*G87*H87/Parametros!$C$6)</f>
        <v>27482654.6356567</v>
      </c>
      <c r="H88" s="36" t="n">
        <f aca="false">MAX(0,H87+D87*G87*H87/Parametros!$C$6-Parametros!$C$18*H87)</f>
        <v>119272.118952644</v>
      </c>
      <c r="I88" s="36" t="n">
        <f aca="false">I87+Parametros!$C$18*(1-F87)*H87</f>
        <v>17802807.3509657</v>
      </c>
      <c r="J88" s="36" t="n">
        <f aca="false">J87+Parametros!$C$18*F87*H87</f>
        <v>105589.89442489</v>
      </c>
      <c r="K88" s="36" t="n">
        <f aca="false">MAX(0,G87-G88)</f>
        <v>81105.7409748435</v>
      </c>
      <c r="L88" s="36" t="n">
        <f aca="false">J88-J87</f>
        <v>395.684855274594</v>
      </c>
      <c r="M88" s="36" t="n">
        <f aca="false">IF(B88&lt;=Parametros!$C$14,0,INDEX($L$8:$L$125,B88-Parametros!$C$14))</f>
        <v>528.225520654742</v>
      </c>
      <c r="N88" s="37" t="n">
        <f aca="false">D88/Parametros!$C$18*G88/Parametros!$C$6</f>
        <v>0.90805902381598</v>
      </c>
    </row>
    <row r="89" customFormat="false" ht="15" hidden="false" customHeight="false" outlineLevel="0" collapsed="false">
      <c r="B89" s="31" t="n">
        <f aca="false">Datos_OWID!B87</f>
        <v>82</v>
      </c>
      <c r="C89" s="32" t="n">
        <f aca="false">Datos_OWID!C87</f>
        <v>44465</v>
      </c>
      <c r="D89" s="33" t="n">
        <f aca="false">IFERROR(INDEX(Tramos_Beta!$G$6:$G$14,MATCH(B89,Tramos_Beta!$E$6:$E$14,1)),INDEX(Tramos_Beta!$G$6:$G$14,1))</f>
        <v>1.0526</v>
      </c>
      <c r="E89" s="34" t="n">
        <f aca="false">Datos_OWID!I87/Parametros!$C$6</f>
        <v>0.433828311132217</v>
      </c>
      <c r="F89" s="35" t="n">
        <f aca="false">Parametros!$C$13*(1-E89*Parametros!$C$15)</f>
        <v>0.00417792109324469</v>
      </c>
      <c r="G89" s="36" t="n">
        <f aca="false">MAX(0,G88-D88*G88*H88/Parametros!$C$6)</f>
        <v>27406840.3489235</v>
      </c>
      <c r="H89" s="36" t="n">
        <f aca="false">MAX(0,H88+D88*G88*H88/Parametros!$C$6-Parametros!$C$18*H88)</f>
        <v>111595.922419014</v>
      </c>
      <c r="I89" s="36" t="n">
        <f aca="false">I88+Parametros!$C$18*(1-F88)*H88</f>
        <v>17885939.1774885</v>
      </c>
      <c r="J89" s="36" t="n">
        <f aca="false">J88+Parametros!$C$18*F88*H88</f>
        <v>105948.551169002</v>
      </c>
      <c r="K89" s="36" t="n">
        <f aca="false">MAX(0,G88-G89)</f>
        <v>75814.2867332213</v>
      </c>
      <c r="L89" s="36" t="n">
        <f aca="false">J89-J88</f>
        <v>358.656744112057</v>
      </c>
      <c r="M89" s="36" t="n">
        <f aca="false">IF(B89&lt;=Parametros!$C$14,0,INDEX($L$8:$L$125,B89-Parametros!$C$14))</f>
        <v>481.250919057682</v>
      </c>
      <c r="N89" s="37" t="n">
        <f aca="false">D89/Parametros!$C$18*G89/Parametros!$C$6</f>
        <v>0.905554031190087</v>
      </c>
    </row>
    <row r="90" customFormat="false" ht="15" hidden="false" customHeight="false" outlineLevel="0" collapsed="false">
      <c r="B90" s="31" t="n">
        <f aca="false">Datos_OWID!B88</f>
        <v>83</v>
      </c>
      <c r="C90" s="32" t="n">
        <f aca="false">Datos_OWID!C88</f>
        <v>44472</v>
      </c>
      <c r="D90" s="33" t="n">
        <f aca="false">IFERROR(INDEX(Tramos_Beta!$G$6:$G$14,MATCH(B90,Tramos_Beta!$E$6:$E$14,1)),INDEX(Tramos_Beta!$G$6:$G$14,1))</f>
        <v>1.0526</v>
      </c>
      <c r="E90" s="34" t="n">
        <f aca="false">Datos_OWID!I88/Parametros!$C$6</f>
        <v>0.464180676894324</v>
      </c>
      <c r="F90" s="35" t="n">
        <f aca="false">Parametros!$C$13*(1-E90*Parametros!$C$15)</f>
        <v>0.00405044115704384</v>
      </c>
      <c r="G90" s="36" t="n">
        <f aca="false">MAX(0,G89-D89*G89*H89/Parametros!$C$6)</f>
        <v>27336101.0527359</v>
      </c>
      <c r="H90" s="36" t="n">
        <f aca="false">MAX(0,H89+D89*G89*H89/Parametros!$C$6-Parametros!$C$18*H89)</f>
        <v>104218.072913344</v>
      </c>
      <c r="I90" s="36" t="n">
        <f aca="false">I89+Parametros!$C$18*(1-F89)*H89</f>
        <v>17963729.955911</v>
      </c>
      <c r="J90" s="36" t="n">
        <f aca="false">J89+Parametros!$C$18*F89*H89</f>
        <v>106274.918439738</v>
      </c>
      <c r="K90" s="36" t="n">
        <f aca="false">MAX(0,G89-G90)</f>
        <v>70739.2961876392</v>
      </c>
      <c r="L90" s="36" t="n">
        <f aca="false">J90-J89</f>
        <v>326.367270736155</v>
      </c>
      <c r="M90" s="36" t="n">
        <f aca="false">IF(B90&lt;=Parametros!$C$14,0,INDEX($L$8:$L$125,B90-Parametros!$C$14))</f>
        <v>436.358804175688</v>
      </c>
      <c r="N90" s="37" t="n">
        <f aca="false">D90/Parametros!$C$18*G90/Parametros!$C$6</f>
        <v>0.903216722182164</v>
      </c>
    </row>
    <row r="91" customFormat="false" ht="15" hidden="false" customHeight="false" outlineLevel="0" collapsed="false">
      <c r="B91" s="31" t="n">
        <f aca="false">Datos_OWID!B89</f>
        <v>84</v>
      </c>
      <c r="C91" s="32" t="n">
        <f aca="false">Datos_OWID!C89</f>
        <v>44479</v>
      </c>
      <c r="D91" s="33" t="n">
        <f aca="false">IFERROR(INDEX(Tramos_Beta!$G$6:$G$14,MATCH(B91,Tramos_Beta!$E$6:$E$14,1)),INDEX(Tramos_Beta!$G$6:$G$14,1))</f>
        <v>1.0526</v>
      </c>
      <c r="E91" s="34" t="n">
        <f aca="false">Datos_OWID!I89/Parametros!$C$6</f>
        <v>0.484315822493375</v>
      </c>
      <c r="F91" s="35" t="n">
        <f aca="false">Parametros!$C$13*(1-E91*Parametros!$C$15)</f>
        <v>0.00396587354552782</v>
      </c>
      <c r="G91" s="36" t="n">
        <f aca="false">MAX(0,G90-D90*G90*H90/Parametros!$C$6)</f>
        <v>27270208.9983896</v>
      </c>
      <c r="H91" s="36" t="n">
        <f aca="false">MAX(0,H90+D90*G90*H90/Parametros!$C$6-Parametros!$C$18*H90)</f>
        <v>97157.4762202561</v>
      </c>
      <c r="I91" s="36" t="n">
        <f aca="false">I90+Parametros!$C$18*(1-F90)*H90</f>
        <v>18036387.1165301</v>
      </c>
      <c r="J91" s="36" t="n">
        <f aca="false">J90+Parametros!$C$18*F90*H90</f>
        <v>106570.408860023</v>
      </c>
      <c r="K91" s="36" t="n">
        <f aca="false">MAX(0,G90-G91)</f>
        <v>65892.0543462522</v>
      </c>
      <c r="L91" s="36" t="n">
        <f aca="false">J91-J90</f>
        <v>295.490420285205</v>
      </c>
      <c r="M91" s="36" t="n">
        <f aca="false">IF(B91&lt;=Parametros!$C$14,0,INDEX($L$8:$L$125,B91-Parametros!$C$14))</f>
        <v>395.684855274594</v>
      </c>
      <c r="N91" s="37" t="n">
        <f aca="false">D91/Parametros!$C$18*G91/Parametros!$C$6</f>
        <v>0.901039571708888</v>
      </c>
    </row>
    <row r="92" customFormat="false" ht="15" hidden="false" customHeight="false" outlineLevel="0" collapsed="false">
      <c r="B92" s="31" t="n">
        <f aca="false">Datos_OWID!B90</f>
        <v>85</v>
      </c>
      <c r="C92" s="32" t="n">
        <f aca="false">Datos_OWID!C90</f>
        <v>44486</v>
      </c>
      <c r="D92" s="33" t="n">
        <f aca="false">IFERROR(INDEX(Tramos_Beta!$G$6:$G$14,MATCH(B92,Tramos_Beta!$E$6:$E$14,1)),INDEX(Tramos_Beta!$G$6:$G$14,1))</f>
        <v>1.0526</v>
      </c>
      <c r="E92" s="34" t="n">
        <f aca="false">Datos_OWID!I90/Parametros!$C$6</f>
        <v>0.50104712504354</v>
      </c>
      <c r="F92" s="35" t="n">
        <f aca="false">Parametros!$C$13*(1-E92*Parametros!$C$15)</f>
        <v>0.00389560207481713</v>
      </c>
      <c r="G92" s="36" t="n">
        <f aca="false">MAX(0,G91-D91*G91*H91/Parametros!$C$6)</f>
        <v>27208929.0868564</v>
      </c>
      <c r="H92" s="36" t="n">
        <f aca="false">MAX(0,H91+D91*G91*H91/Parametros!$C$6-Parametros!$C$18*H91)</f>
        <v>90427.1543993481</v>
      </c>
      <c r="I92" s="36" t="n">
        <f aca="false">I91+Parametros!$C$18*(1-F91)*H91</f>
        <v>18104127.629899</v>
      </c>
      <c r="J92" s="36" t="n">
        <f aca="false">J91+Parametros!$C$18*F91*H91</f>
        <v>106840.128845308</v>
      </c>
      <c r="K92" s="36" t="n">
        <f aca="false">MAX(0,G91-G92)</f>
        <v>61279.91153327</v>
      </c>
      <c r="L92" s="36" t="n">
        <f aca="false">J92-J91</f>
        <v>269.719985284508</v>
      </c>
      <c r="M92" s="36" t="n">
        <f aca="false">IF(B92&lt;=Parametros!$C$14,0,INDEX($L$8:$L$125,B92-Parametros!$C$14))</f>
        <v>358.656744112057</v>
      </c>
      <c r="N92" s="37" t="n">
        <f aca="false">D92/Parametros!$C$18*G92/Parametros!$C$6</f>
        <v>0.899014811823639</v>
      </c>
    </row>
    <row r="93" customFormat="false" ht="15" hidden="false" customHeight="false" outlineLevel="0" collapsed="false">
      <c r="B93" s="31" t="n">
        <f aca="false">Datos_OWID!B91</f>
        <v>86</v>
      </c>
      <c r="C93" s="32" t="n">
        <f aca="false">Datos_OWID!C91</f>
        <v>44493</v>
      </c>
      <c r="D93" s="33" t="n">
        <f aca="false">IFERROR(INDEX(Tramos_Beta!$G$6:$G$14,MATCH(B93,Tramos_Beta!$E$6:$E$14,1)),INDEX(Tramos_Beta!$G$6:$G$14,1))</f>
        <v>1.0526</v>
      </c>
      <c r="E93" s="34" t="n">
        <f aca="false">Datos_OWID!I91/Parametros!$C$6</f>
        <v>0.514077179498876</v>
      </c>
      <c r="F93" s="35" t="n">
        <f aca="false">Parametros!$C$13*(1-E93*Parametros!$C$15)</f>
        <v>0.00384087584610472</v>
      </c>
      <c r="G93" s="36" t="n">
        <f aca="false">MAX(0,G92-D92*G92*H92/Parametros!$C$6)</f>
        <v>27152022.3410191</v>
      </c>
      <c r="H93" s="36" t="n">
        <f aca="false">MAX(0,H92+D92*G92*H92/Parametros!$C$6-Parametros!$C$18*H92)</f>
        <v>84034.8921570584</v>
      </c>
      <c r="I93" s="36" t="n">
        <f aca="false">I92+Parametros!$C$18*(1-F92)*H92</f>
        <v>18167180.0502313</v>
      </c>
      <c r="J93" s="36" t="n">
        <f aca="false">J92+Parametros!$C$18*F92*H92</f>
        <v>107086.716592516</v>
      </c>
      <c r="K93" s="36" t="n">
        <f aca="false">MAX(0,G92-G93)</f>
        <v>56906.7458372526</v>
      </c>
      <c r="L93" s="36" t="n">
        <f aca="false">J93-J92</f>
        <v>246.587747208541</v>
      </c>
      <c r="M93" s="36" t="n">
        <f aca="false">IF(B93&lt;=Parametros!$C$14,0,INDEX($L$8:$L$125,B93-Parametros!$C$14))</f>
        <v>326.367270736155</v>
      </c>
      <c r="N93" s="37" t="n">
        <f aca="false">D93/Parametros!$C$18*G93/Parametros!$C$6</f>
        <v>0.897134546443217</v>
      </c>
    </row>
    <row r="94" customFormat="false" ht="15" hidden="false" customHeight="false" outlineLevel="0" collapsed="false">
      <c r="B94" s="31" t="n">
        <f aca="false">Datos_OWID!B92</f>
        <v>87</v>
      </c>
      <c r="C94" s="32" t="n">
        <f aca="false">Datos_OWID!C92</f>
        <v>44500</v>
      </c>
      <c r="D94" s="33" t="n">
        <f aca="false">IFERROR(INDEX(Tramos_Beta!$G$6:$G$14,MATCH(B94,Tramos_Beta!$E$6:$E$14,1)),INDEX(Tramos_Beta!$G$6:$G$14,1))</f>
        <v>1.0526</v>
      </c>
      <c r="E94" s="34" t="n">
        <f aca="false">Datos_OWID!I92/Parametros!$C$6</f>
        <v>0.526910289630107</v>
      </c>
      <c r="F94" s="35" t="n">
        <f aca="false">Parametros!$C$13*(1-E94*Parametros!$C$15)</f>
        <v>0.00378697678355355</v>
      </c>
      <c r="G94" s="36" t="n">
        <f aca="false">MAX(0,G93-D93*G93*H93/Parametros!$C$6)</f>
        <v>27099248.9176166</v>
      </c>
      <c r="H94" s="36" t="n">
        <f aca="false">MAX(0,H93+D93*G93*H93/Parametros!$C$6-Parametros!$C$18*H93)</f>
        <v>77983.8910496266</v>
      </c>
      <c r="I94" s="36" t="n">
        <f aca="false">I93+Parametros!$C$18*(1-F93)*H93</f>
        <v>18225778.53743</v>
      </c>
      <c r="J94" s="36" t="n">
        <f aca="false">J93+Parametros!$C$18*F93*H93</f>
        <v>107312.653903778</v>
      </c>
      <c r="K94" s="36" t="n">
        <f aca="false">MAX(0,G93-G94)</f>
        <v>52773.4234025106</v>
      </c>
      <c r="L94" s="36" t="n">
        <f aca="false">J94-J93</f>
        <v>225.937311261237</v>
      </c>
      <c r="M94" s="36" t="n">
        <f aca="false">IF(B94&lt;=Parametros!$C$14,0,INDEX($L$8:$L$125,B94-Parametros!$C$14))</f>
        <v>295.490420285205</v>
      </c>
      <c r="N94" s="37" t="n">
        <f aca="false">D94/Parametros!$C$18*G94/Parametros!$C$6</f>
        <v>0.895390850866003</v>
      </c>
    </row>
    <row r="95" customFormat="false" ht="15" hidden="false" customHeight="false" outlineLevel="0" collapsed="false">
      <c r="B95" s="31" t="n">
        <f aca="false">Datos_OWID!B93</f>
        <v>88</v>
      </c>
      <c r="C95" s="32" t="n">
        <f aca="false">Datos_OWID!C93</f>
        <v>44507</v>
      </c>
      <c r="D95" s="33" t="n">
        <f aca="false">IFERROR(INDEX(Tramos_Beta!$G$6:$G$14,MATCH(B95,Tramos_Beta!$E$6:$E$14,1)),INDEX(Tramos_Beta!$G$6:$G$14,1))</f>
        <v>1.0526</v>
      </c>
      <c r="E95" s="34" t="n">
        <f aca="false">Datos_OWID!I93/Parametros!$C$6</f>
        <v>0.543648228037225</v>
      </c>
      <c r="F95" s="35" t="n">
        <f aca="false">Parametros!$C$13*(1-E95*Parametros!$C$15)</f>
        <v>0.00371667744224365</v>
      </c>
      <c r="G95" s="36" t="n">
        <f aca="false">MAX(0,G94-D94*G94*H94/Parametros!$C$6)</f>
        <v>27050370.6738241</v>
      </c>
      <c r="H95" s="36" t="n">
        <f aca="false">MAX(0,H94+D94*G94*H94/Parametros!$C$6-Parametros!$C$18*H94)</f>
        <v>72273.4111074247</v>
      </c>
      <c r="I95" s="36" t="n">
        <f aca="false">I94+Parametros!$C$18*(1-F94)*H94</f>
        <v>18280160.5349353</v>
      </c>
      <c r="J95" s="36" t="n">
        <f aca="false">J94+Parametros!$C$18*F94*H94</f>
        <v>107519.380133205</v>
      </c>
      <c r="K95" s="36" t="n">
        <f aca="false">MAX(0,G94-G95)</f>
        <v>48878.2437925376</v>
      </c>
      <c r="L95" s="36" t="n">
        <f aca="false">J95-J94</f>
        <v>206.726229427281</v>
      </c>
      <c r="M95" s="36" t="n">
        <f aca="false">IF(B95&lt;=Parametros!$C$14,0,INDEX($L$8:$L$125,B95-Parametros!$C$14))</f>
        <v>269.719985284508</v>
      </c>
      <c r="N95" s="37" t="n">
        <f aca="false">D95/Parametros!$C$18*G95/Parametros!$C$6</f>
        <v>0.893775856574785</v>
      </c>
    </row>
    <row r="96" customFormat="false" ht="15" hidden="false" customHeight="false" outlineLevel="0" collapsed="false">
      <c r="B96" s="31" t="n">
        <f aca="false">Datos_OWID!B94</f>
        <v>89</v>
      </c>
      <c r="C96" s="32" t="n">
        <f aca="false">Datos_OWID!C94</f>
        <v>44514</v>
      </c>
      <c r="D96" s="33" t="n">
        <f aca="false">IFERROR(INDEX(Tramos_Beta!$G$6:$G$14,MATCH(B96,Tramos_Beta!$E$6:$E$14,1)),INDEX(Tramos_Beta!$G$6:$G$14,1))</f>
        <v>1.0526</v>
      </c>
      <c r="E96" s="34" t="n">
        <f aca="false">Datos_OWID!I94/Parametros!$C$6</f>
        <v>0.558182908124319</v>
      </c>
      <c r="F96" s="35" t="n">
        <f aca="false">Parametros!$C$13*(1-E96*Parametros!$C$15)</f>
        <v>0.00365563178587786</v>
      </c>
      <c r="G96" s="36" t="n">
        <f aca="false">MAX(0,G95-D95*G95*H95/Parametros!$C$6)</f>
        <v>27005153.31288</v>
      </c>
      <c r="H96" s="36" t="n">
        <f aca="false">MAX(0,H95+D95*G95*H95/Parametros!$C$6-Parametros!$C$18*H95)</f>
        <v>66899.3842763115</v>
      </c>
      <c r="I96" s="36" t="n">
        <f aca="false">I95+Parametros!$C$18*(1-F95)*H95</f>
        <v>18330563.8908408</v>
      </c>
      <c r="J96" s="36" t="n">
        <f aca="false">J95+Parametros!$C$18*F95*H95</f>
        <v>107707.412002921</v>
      </c>
      <c r="K96" s="36" t="n">
        <f aca="false">MAX(0,G95-G96)</f>
        <v>45217.3609440848</v>
      </c>
      <c r="L96" s="36" t="n">
        <f aca="false">J96-J95</f>
        <v>188.03186971588</v>
      </c>
      <c r="M96" s="36" t="n">
        <f aca="false">IF(B96&lt;=Parametros!$C$14,0,INDEX($L$8:$L$125,B96-Parametros!$C$14))</f>
        <v>246.587747208541</v>
      </c>
      <c r="N96" s="37" t="n">
        <f aca="false">D96/Parametros!$C$18*G96/Parametros!$C$6</f>
        <v>0.892281822130778</v>
      </c>
    </row>
    <row r="97" customFormat="false" ht="15" hidden="false" customHeight="false" outlineLevel="0" collapsed="false">
      <c r="B97" s="31" t="n">
        <f aca="false">Datos_OWID!B95</f>
        <v>90</v>
      </c>
      <c r="C97" s="32" t="n">
        <f aca="false">Datos_OWID!C95</f>
        <v>44521</v>
      </c>
      <c r="D97" s="33" t="n">
        <f aca="false">IFERROR(INDEX(Tramos_Beta!$G$6:$G$14,MATCH(B97,Tramos_Beta!$E$6:$E$14,1)),INDEX(Tramos_Beta!$G$6:$G$14,1))</f>
        <v>1.0526</v>
      </c>
      <c r="E97" s="34" t="n">
        <f aca="false">Datos_OWID!I95/Parametros!$C$6</f>
        <v>0.585064676753345</v>
      </c>
      <c r="F97" s="35" t="n">
        <f aca="false">Parametros!$C$13*(1-E97*Parametros!$C$15)</f>
        <v>0.00354272835763595</v>
      </c>
      <c r="G97" s="36" t="n">
        <f aca="false">MAX(0,G96-D96*G96*H96/Parametros!$C$6)</f>
        <v>26963368.1397289</v>
      </c>
      <c r="H97" s="36" t="n">
        <f aca="false">MAX(0,H96+D96*G96*H96/Parametros!$C$6-Parametros!$C$18*H96)</f>
        <v>61854.9884339395</v>
      </c>
      <c r="I97" s="36" t="n">
        <f aca="false">I96+Parametros!$C$18*(1-F96)*H96</f>
        <v>18377222.2681733</v>
      </c>
      <c r="J97" s="36" t="n">
        <f aca="false">J96+Parametros!$C$18*F96*H96</f>
        <v>107878.603663852</v>
      </c>
      <c r="K97" s="36" t="n">
        <f aca="false">MAX(0,G96-G97)</f>
        <v>41785.173151046</v>
      </c>
      <c r="L97" s="36" t="n">
        <f aca="false">J97-J96</f>
        <v>171.191660931305</v>
      </c>
      <c r="M97" s="36" t="n">
        <f aca="false">IF(B97&lt;=Parametros!$C$14,0,INDEX($L$8:$L$125,B97-Parametros!$C$14))</f>
        <v>225.937311261237</v>
      </c>
      <c r="N97" s="37" t="n">
        <f aca="false">D97/Parametros!$C$18*G97/Parametros!$C$6</f>
        <v>0.890901191182111</v>
      </c>
    </row>
    <row r="98" customFormat="false" ht="15" hidden="false" customHeight="false" outlineLevel="0" collapsed="false">
      <c r="B98" s="31" t="n">
        <f aca="false">Datos_OWID!B96</f>
        <v>91</v>
      </c>
      <c r="C98" s="32" t="n">
        <f aca="false">Datos_OWID!C96</f>
        <v>44528</v>
      </c>
      <c r="D98" s="33" t="n">
        <f aca="false">IFERROR(INDEX(Tramos_Beta!$G$6:$G$14,MATCH(B98,Tramos_Beta!$E$6:$E$14,1)),INDEX(Tramos_Beta!$G$6:$G$14,1))</f>
        <v>1.2696</v>
      </c>
      <c r="E98" s="34" t="n">
        <f aca="false">Datos_OWID!I96/Parametros!$C$6</f>
        <v>0.604428744563541</v>
      </c>
      <c r="F98" s="35" t="n">
        <f aca="false">Parametros!$C$13*(1-E98*Parametros!$C$15)</f>
        <v>0.00346139927283313</v>
      </c>
      <c r="G98" s="36" t="n">
        <f aca="false">MAX(0,G97-D97*G97*H97/Parametros!$C$6)</f>
        <v>26924793.4617155</v>
      </c>
      <c r="H98" s="36" t="n">
        <f aca="false">MAX(0,H97+D97*G97*H97/Parametros!$C$6-Parametros!$C$18*H97)</f>
        <v>57131.1745436285</v>
      </c>
      <c r="I98" s="36" t="n">
        <f aca="false">I97+Parametros!$C$18*(1-F97)*H97</f>
        <v>18420367.3652819</v>
      </c>
      <c r="J98" s="36" t="n">
        <f aca="false">J97+Parametros!$C$18*F97*H97</f>
        <v>108031.998458962</v>
      </c>
      <c r="K98" s="36" t="n">
        <f aca="false">MAX(0,G97-G98)</f>
        <v>38574.6780134477</v>
      </c>
      <c r="L98" s="36" t="n">
        <f aca="false">J98-J97</f>
        <v>153.394795110318</v>
      </c>
      <c r="M98" s="36" t="n">
        <f aca="false">IF(B98&lt;=Parametros!$C$14,0,INDEX($L$8:$L$125,B98-Parametros!$C$14))</f>
        <v>206.726229427281</v>
      </c>
      <c r="N98" s="37" t="n">
        <f aca="false">D98/Parametros!$C$18*G98/Parametros!$C$6</f>
        <v>1.07302867238256</v>
      </c>
    </row>
    <row r="99" customFormat="false" ht="15" hidden="false" customHeight="false" outlineLevel="0" collapsed="false">
      <c r="B99" s="31" t="n">
        <f aca="false">Datos_OWID!B97</f>
        <v>92</v>
      </c>
      <c r="C99" s="32" t="n">
        <f aca="false">Datos_OWID!C97</f>
        <v>44535</v>
      </c>
      <c r="D99" s="33" t="n">
        <f aca="false">IFERROR(INDEX(Tramos_Beta!$G$6:$G$14,MATCH(B99,Tramos_Beta!$E$6:$E$14,1)),INDEX(Tramos_Beta!$G$6:$G$14,1))</f>
        <v>1.2696</v>
      </c>
      <c r="E99" s="34" t="n">
        <f aca="false">Datos_OWID!I97/Parametros!$C$6</f>
        <v>0.624158861184992</v>
      </c>
      <c r="F99" s="35" t="n">
        <f aca="false">Parametros!$C$13*(1-E99*Parametros!$C$15)</f>
        <v>0.00337853278302304</v>
      </c>
      <c r="G99" s="36" t="n">
        <f aca="false">MAX(0,G98-D98*G98*H98/Parametros!$C$6)</f>
        <v>26881881.0898549</v>
      </c>
      <c r="H99" s="36" t="n">
        <f aca="false">MAX(0,H98+D98*G98*H98/Parametros!$C$6-Parametros!$C$18*H98)</f>
        <v>60051.7242236326</v>
      </c>
      <c r="I99" s="36" t="n">
        <f aca="false">I98+Parametros!$C$18*(1-F98)*H98</f>
        <v>18460220.7597983</v>
      </c>
      <c r="J99" s="36" t="n">
        <f aca="false">J98+Parametros!$C$18*F98*H98</f>
        <v>108170.426123177</v>
      </c>
      <c r="K99" s="36" t="n">
        <f aca="false">MAX(0,G98-G99)</f>
        <v>42912.3718605451</v>
      </c>
      <c r="L99" s="36" t="n">
        <f aca="false">J99-J98</f>
        <v>138.427664214993</v>
      </c>
      <c r="M99" s="36" t="n">
        <f aca="false">IF(B99&lt;=Parametros!$C$14,0,INDEX($L$8:$L$125,B99-Parametros!$C$14))</f>
        <v>188.03186971588</v>
      </c>
      <c r="N99" s="37" t="n">
        <f aca="false">D99/Parametros!$C$18*G99/Parametros!$C$6</f>
        <v>1.07131849378929</v>
      </c>
    </row>
    <row r="100" customFormat="false" ht="15" hidden="false" customHeight="false" outlineLevel="0" collapsed="false">
      <c r="B100" s="31" t="n">
        <f aca="false">Datos_OWID!B98</f>
        <v>93</v>
      </c>
      <c r="C100" s="32" t="n">
        <f aca="false">Datos_OWID!C98</f>
        <v>44542</v>
      </c>
      <c r="D100" s="33" t="n">
        <f aca="false">IFERROR(INDEX(Tramos_Beta!$G$6:$G$14,MATCH(B100,Tramos_Beta!$E$6:$E$14,1)),INDEX(Tramos_Beta!$G$6:$G$14,1))</f>
        <v>1.2696</v>
      </c>
      <c r="E100" s="34" t="n">
        <f aca="false">Datos_OWID!I98/Parametros!$C$6</f>
        <v>0.640304011019566</v>
      </c>
      <c r="F100" s="35" t="n">
        <f aca="false">Parametros!$C$13*(1-E100*Parametros!$C$15)</f>
        <v>0.00331072315371782</v>
      </c>
      <c r="G100" s="36" t="n">
        <f aca="false">MAX(0,G99-D99*G99*H99/Parametros!$C$6)</f>
        <v>26836846.9239336</v>
      </c>
      <c r="H100" s="36" t="n">
        <f aca="false">MAX(0,H99+D99*G99*H99/Parametros!$C$6-Parametros!$C$18*H99)</f>
        <v>63049.6831883881</v>
      </c>
      <c r="I100" s="36" t="n">
        <f aca="false">I99+Parametros!$C$18*(1-F99)*H99</f>
        <v>18502114.9460515</v>
      </c>
      <c r="J100" s="36" t="n">
        <f aca="false">J99+Parametros!$C$18*F99*H99</f>
        <v>108312.446826454</v>
      </c>
      <c r="K100" s="36" t="n">
        <f aca="false">MAX(0,G99-G100)</f>
        <v>45034.1659212969</v>
      </c>
      <c r="L100" s="36" t="n">
        <f aca="false">J100-J99</f>
        <v>142.020703276619</v>
      </c>
      <c r="M100" s="36" t="n">
        <f aca="false">IF(B100&lt;=Parametros!$C$14,0,INDEX($L$8:$L$125,B100-Parametros!$C$14))</f>
        <v>171.191660931305</v>
      </c>
      <c r="N100" s="37" t="n">
        <f aca="false">D100/Parametros!$C$18*G100/Parametros!$C$6</f>
        <v>1.06952375574092</v>
      </c>
    </row>
    <row r="101" customFormat="false" ht="15" hidden="false" customHeight="false" outlineLevel="0" collapsed="false">
      <c r="B101" s="31" t="n">
        <f aca="false">Datos_OWID!B99</f>
        <v>94</v>
      </c>
      <c r="C101" s="32" t="n">
        <f aca="false">Datos_OWID!C99</f>
        <v>44549</v>
      </c>
      <c r="D101" s="33" t="n">
        <f aca="false">IFERROR(INDEX(Tramos_Beta!$G$6:$G$14,MATCH(B101,Tramos_Beta!$E$6:$E$14,1)),INDEX(Tramos_Beta!$G$6:$G$14,1))</f>
        <v>1.2696</v>
      </c>
      <c r="E101" s="34" t="n">
        <f aca="false">Datos_OWID!I99/Parametros!$C$6</f>
        <v>0.655320515846031</v>
      </c>
      <c r="F101" s="35" t="n">
        <f aca="false">Parametros!$C$13*(1-E101*Parametros!$C$15)</f>
        <v>0.00324765383344667</v>
      </c>
      <c r="G101" s="36" t="n">
        <f aca="false">MAX(0,G100-D100*G100*H100/Parametros!$C$6)</f>
        <v>26789643.7301603</v>
      </c>
      <c r="H101" s="36" t="n">
        <f aca="false">MAX(0,H100+D100*G100*H100/Parametros!$C$6-Parametros!$C$18*H100)</f>
        <v>66118.0987298602</v>
      </c>
      <c r="I101" s="36" t="n">
        <f aca="false">I100+Parametros!$C$18*(1-F100)*H100</f>
        <v>18546103.6062512</v>
      </c>
      <c r="J101" s="36" t="n">
        <f aca="false">J100+Parametros!$C$18*F100*H100</f>
        <v>108458.564858631</v>
      </c>
      <c r="K101" s="36" t="n">
        <f aca="false">MAX(0,G100-G101)</f>
        <v>47203.1937733442</v>
      </c>
      <c r="L101" s="36" t="n">
        <f aca="false">J101-J100</f>
        <v>146.118032176455</v>
      </c>
      <c r="M101" s="36" t="n">
        <f aca="false">IF(B101&lt;=Parametros!$C$14,0,INDEX($L$8:$L$125,B101-Parametros!$C$14))</f>
        <v>153.394795110318</v>
      </c>
      <c r="N101" s="37" t="n">
        <f aca="false">D101/Parametros!$C$18*G101/Parametros!$C$6</f>
        <v>1.06764257583813</v>
      </c>
    </row>
    <row r="102" customFormat="false" ht="15" hidden="false" customHeight="false" outlineLevel="0" collapsed="false">
      <c r="B102" s="31" t="n">
        <f aca="false">Datos_OWID!B100</f>
        <v>95</v>
      </c>
      <c r="C102" s="32" t="n">
        <f aca="false">Datos_OWID!C100</f>
        <v>44556</v>
      </c>
      <c r="D102" s="33" t="n">
        <f aca="false">IFERROR(INDEX(Tramos_Beta!$G$6:$G$14,MATCH(B102,Tramos_Beta!$E$6:$E$14,1)),INDEX(Tramos_Beta!$G$6:$G$14,1))</f>
        <v>1.2696</v>
      </c>
      <c r="E102" s="34" t="n">
        <f aca="false">Datos_OWID!I100/Parametros!$C$6</f>
        <v>0.665292516924292</v>
      </c>
      <c r="F102" s="35" t="n">
        <f aca="false">Parametros!$C$13*(1-E102*Parametros!$C$15)</f>
        <v>0.00320577142891798</v>
      </c>
      <c r="G102" s="36" t="n">
        <f aca="false">MAX(0,G101-D101*G101*H101/Parametros!$C$6)</f>
        <v>26740230.3820941</v>
      </c>
      <c r="H102" s="36" t="n">
        <f aca="false">MAX(0,H101+D101*G101*H101/Parametros!$C$6-Parametros!$C$18*H101)</f>
        <v>69248.7776851855</v>
      </c>
      <c r="I102" s="36" t="n">
        <f aca="false">I101+Parametros!$C$18*(1-F101)*H101</f>
        <v>18592235.9652744</v>
      </c>
      <c r="J102" s="36" t="n">
        <f aca="false">J101+Parametros!$C$18*F101*H101</f>
        <v>108608.874946391</v>
      </c>
      <c r="K102" s="36" t="n">
        <f aca="false">MAX(0,G101-G102)</f>
        <v>49413.3480662257</v>
      </c>
      <c r="L102" s="36" t="n">
        <f aca="false">J102-J101</f>
        <v>150.310087760168</v>
      </c>
      <c r="M102" s="36" t="n">
        <f aca="false">IF(B102&lt;=Parametros!$C$14,0,INDEX($L$8:$L$125,B102-Parametros!$C$14))</f>
        <v>138.427664214993</v>
      </c>
      <c r="N102" s="37" t="n">
        <f aca="false">D102/Parametros!$C$18*G102/Parametros!$C$6</f>
        <v>1.06567331507671</v>
      </c>
    </row>
    <row r="103" customFormat="false" ht="15" hidden="false" customHeight="false" outlineLevel="0" collapsed="false">
      <c r="B103" s="31" t="n">
        <f aca="false">Datos_OWID!B101</f>
        <v>96</v>
      </c>
      <c r="C103" s="32" t="n">
        <f aca="false">Datos_OWID!C101</f>
        <v>44563</v>
      </c>
      <c r="D103" s="33" t="n">
        <f aca="false">IFERROR(INDEX(Tramos_Beta!$G$6:$G$14,MATCH(B103,Tramos_Beta!$E$6:$E$14,1)),INDEX(Tramos_Beta!$G$6:$G$14,1))</f>
        <v>1.2696</v>
      </c>
      <c r="E103" s="34" t="n">
        <f aca="false">Datos_OWID!I101/Parametros!$C$6</f>
        <v>0.676803641301257</v>
      </c>
      <c r="F103" s="35" t="n">
        <f aca="false">Parametros!$C$13*(1-E103*Parametros!$C$15)</f>
        <v>0.00315742470653472</v>
      </c>
      <c r="G103" s="36" t="n">
        <f aca="false">MAX(0,G102-D102*G102*H102/Parametros!$C$6)</f>
        <v>26688572.7799575</v>
      </c>
      <c r="H103" s="36" t="n">
        <f aca="false">MAX(0,H102+D102*G102*H102/Parametros!$C$6-Parametros!$C$18*H102)</f>
        <v>72432.2354421028</v>
      </c>
      <c r="I103" s="36" t="n">
        <f aca="false">I102+Parametros!$C$18*(1-F102)*H102</f>
        <v>18640554.7126269</v>
      </c>
      <c r="J103" s="36" t="n">
        <f aca="false">J102+Parametros!$C$18*F102*H102</f>
        <v>108764.271973484</v>
      </c>
      <c r="K103" s="36" t="n">
        <f aca="false">MAX(0,G102-G103)</f>
        <v>51657.6021365486</v>
      </c>
      <c r="L103" s="36" t="n">
        <f aca="false">J103-J102</f>
        <v>155.397027093466</v>
      </c>
      <c r="M103" s="36" t="n">
        <f aca="false">IF(B103&lt;=Parametros!$C$14,0,INDEX($L$8:$L$125,B103-Parametros!$C$14))</f>
        <v>142.020703276619</v>
      </c>
      <c r="N103" s="37" t="n">
        <f aca="false">D103/Parametros!$C$18*G103/Parametros!$C$6</f>
        <v>1.06361461448471</v>
      </c>
    </row>
    <row r="104" customFormat="false" ht="15" hidden="false" customHeight="false" outlineLevel="0" collapsed="false">
      <c r="B104" s="31" t="n">
        <f aca="false">Datos_OWID!B102</f>
        <v>97</v>
      </c>
      <c r="C104" s="32" t="n">
        <f aca="false">Datos_OWID!C102</f>
        <v>44570</v>
      </c>
      <c r="D104" s="33" t="n">
        <f aca="false">IFERROR(INDEX(Tramos_Beta!$G$6:$G$14,MATCH(B104,Tramos_Beta!$E$6:$E$14,1)),INDEX(Tramos_Beta!$G$6:$G$14,1))</f>
        <v>1.2696</v>
      </c>
      <c r="E104" s="34" t="n">
        <f aca="false">Datos_OWID!I102/Parametros!$C$6</f>
        <v>0.691336343815087</v>
      </c>
      <c r="F104" s="35" t="n">
        <f aca="false">Parametros!$C$13*(1-E104*Parametros!$C$15)</f>
        <v>0.00309638735597664</v>
      </c>
      <c r="G104" s="36" t="n">
        <f aca="false">MAX(0,G103-D103*G103*H103/Parametros!$C$6)</f>
        <v>26634644.7910343</v>
      </c>
      <c r="H104" s="36" t="n">
        <f aca="false">MAX(0,H103+D103*G103*H103/Parametros!$C$6-Parametros!$C$18*H103)</f>
        <v>75657.6595558436</v>
      </c>
      <c r="I104" s="36" t="n">
        <f aca="false">I103+Parametros!$C$18*(1-F103)*H103</f>
        <v>18691097.1879055</v>
      </c>
      <c r="J104" s="36" t="n">
        <f aca="false">J103+Parametros!$C$18*F103*H103</f>
        <v>108924.361504298</v>
      </c>
      <c r="K104" s="36" t="n">
        <f aca="false">MAX(0,G103-G104)</f>
        <v>53927.9889232144</v>
      </c>
      <c r="L104" s="36" t="n">
        <f aca="false">J104-J103</f>
        <v>160.089530814104</v>
      </c>
      <c r="M104" s="36" t="n">
        <f aca="false">IF(B104&lt;=Parametros!$C$14,0,INDEX($L$8:$L$125,B104-Parametros!$C$14))</f>
        <v>146.118032176455</v>
      </c>
      <c r="N104" s="37" t="n">
        <f aca="false">D104/Parametros!$C$18*G104/Parametros!$C$6</f>
        <v>1.06146543259996</v>
      </c>
    </row>
    <row r="105" customFormat="false" ht="15" hidden="false" customHeight="false" outlineLevel="0" collapsed="false">
      <c r="B105" s="31" t="n">
        <f aca="false">Datos_OWID!B103</f>
        <v>98</v>
      </c>
      <c r="C105" s="32" t="n">
        <f aca="false">Datos_OWID!C103</f>
        <v>44577</v>
      </c>
      <c r="D105" s="33" t="n">
        <f aca="false">IFERROR(INDEX(Tramos_Beta!$G$6:$G$14,MATCH(B105,Tramos_Beta!$E$6:$E$14,1)),INDEX(Tramos_Beta!$G$6:$G$14,1))</f>
        <v>1.2696</v>
      </c>
      <c r="E105" s="34" t="n">
        <f aca="false">Datos_OWID!I103/Parametros!$C$6</f>
        <v>0.701511156018138</v>
      </c>
      <c r="F105" s="35" t="n">
        <f aca="false">Parametros!$C$13*(1-E105*Parametros!$C$15)</f>
        <v>0.00305365314472382</v>
      </c>
      <c r="G105" s="36" t="n">
        <f aca="false">MAX(0,G104-D104*G104*H104/Parametros!$C$6)</f>
        <v>26578429.1978033</v>
      </c>
      <c r="H105" s="36" t="n">
        <f aca="false">MAX(0,H104+D104*G104*H104/Parametros!$C$6-Parametros!$C$18*H104)</f>
        <v>78912.891097714</v>
      </c>
      <c r="I105" s="36" t="n">
        <f aca="false">I104+Parametros!$C$18*(1-F104)*H104</f>
        <v>18743893.5638003</v>
      </c>
      <c r="J105" s="36" t="n">
        <f aca="false">J104+Parametros!$C$18*F104*H104</f>
        <v>109088.3472986</v>
      </c>
      <c r="K105" s="36" t="n">
        <f aca="false">MAX(0,G104-G105)</f>
        <v>56215.5932309628</v>
      </c>
      <c r="L105" s="36" t="n">
        <f aca="false">J105-J104</f>
        <v>163.985794302047</v>
      </c>
      <c r="M105" s="36" t="n">
        <f aca="false">IF(B105&lt;=Parametros!$C$14,0,INDEX($L$8:$L$125,B105-Parametros!$C$14))</f>
        <v>150.310087760168</v>
      </c>
      <c r="N105" s="37" t="n">
        <f aca="false">D105/Parametros!$C$18*G105/Parametros!$C$6</f>
        <v>1.05922508325587</v>
      </c>
    </row>
    <row r="106" customFormat="false" ht="15" hidden="false" customHeight="false" outlineLevel="0" collapsed="false">
      <c r="B106" s="31" t="n">
        <f aca="false">Datos_OWID!B104</f>
        <v>99</v>
      </c>
      <c r="C106" s="32" t="n">
        <f aca="false">Datos_OWID!C104</f>
        <v>44584</v>
      </c>
      <c r="D106" s="33" t="n">
        <f aca="false">IFERROR(INDEX(Tramos_Beta!$G$6:$G$14,MATCH(B106,Tramos_Beta!$E$6:$E$14,1)),INDEX(Tramos_Beta!$G$6:$G$14,1))</f>
        <v>1.2696</v>
      </c>
      <c r="E106" s="34" t="n">
        <f aca="false">Datos_OWID!I104/Parametros!$C$6</f>
        <v>0.70943746741948</v>
      </c>
      <c r="F106" s="35" t="n">
        <f aca="false">Parametros!$C$13*(1-E106*Parametros!$C$15)</f>
        <v>0.00302036263683818</v>
      </c>
      <c r="G106" s="36" t="n">
        <f aca="false">MAX(0,G105-D105*G105*H105/Parametros!$C$6)</f>
        <v>26519918.6382533</v>
      </c>
      <c r="H106" s="36" t="n">
        <f aca="false">MAX(0,H105+D105*G105*H105/Parametros!$C$6-Parametros!$C$18*H105)</f>
        <v>82184.4268793704</v>
      </c>
      <c r="I106" s="36" t="n">
        <f aca="false">I105+Parametros!$C$18*(1-F105)*H105</f>
        <v>18798963.9067501</v>
      </c>
      <c r="J106" s="36" t="n">
        <f aca="false">J105+Parametros!$C$18*F105*H105</f>
        <v>109257.028117242</v>
      </c>
      <c r="K106" s="36" t="n">
        <f aca="false">MAX(0,G105-G106)</f>
        <v>58510.5595500544</v>
      </c>
      <c r="L106" s="36" t="n">
        <f aca="false">J106-J105</f>
        <v>168.680818641849</v>
      </c>
      <c r="M106" s="36" t="n">
        <f aca="false">IF(B106&lt;=Parametros!$C$14,0,INDEX($L$8:$L$125,B106-Parametros!$C$14))</f>
        <v>155.397027093466</v>
      </c>
      <c r="N106" s="37" t="n">
        <f aca="false">D106/Parametros!$C$18*G106/Parametros!$C$6</f>
        <v>1.05689327305559</v>
      </c>
    </row>
    <row r="107" customFormat="false" ht="15" hidden="false" customHeight="false" outlineLevel="0" collapsed="false">
      <c r="B107" s="31" t="n">
        <f aca="false">Datos_OWID!B105</f>
        <v>100</v>
      </c>
      <c r="C107" s="32" t="n">
        <f aca="false">Datos_OWID!C105</f>
        <v>44591</v>
      </c>
      <c r="D107" s="33" t="n">
        <f aca="false">IFERROR(INDEX(Tramos_Beta!$G$6:$G$14,MATCH(B107,Tramos_Beta!$E$6:$E$14,1)),INDEX(Tramos_Beta!$G$6:$G$14,1))</f>
        <v>1.2696</v>
      </c>
      <c r="E107" s="34" t="n">
        <f aca="false">Datos_OWID!I105/Parametros!$C$6</f>
        <v>0.717141455639824</v>
      </c>
      <c r="F107" s="35" t="n">
        <f aca="false">Parametros!$C$13*(1-E107*Parametros!$C$15)</f>
        <v>0.00298800588631274</v>
      </c>
      <c r="G107" s="36" t="n">
        <f aca="false">MAX(0,G106-D106*G106*H106/Parametros!$C$6)</f>
        <v>26459116.5207102</v>
      </c>
      <c r="H107" s="36" t="n">
        <f aca="false">MAX(0,H106+D106*G106*H106/Parametros!$C$6-Parametros!$C$18*H106)</f>
        <v>85457.4456069263</v>
      </c>
      <c r="I107" s="36" t="n">
        <f aca="false">I106+Parametros!$C$18*(1-F106)*H106</f>
        <v>18856319.2468251</v>
      </c>
      <c r="J107" s="36" t="n">
        <f aca="false">J106+Parametros!$C$18*F106*H106</f>
        <v>109430.786857836</v>
      </c>
      <c r="K107" s="36" t="n">
        <f aca="false">MAX(0,G106-G107)</f>
        <v>60802.1175431162</v>
      </c>
      <c r="L107" s="36" t="n">
        <f aca="false">J107-J106</f>
        <v>173.75874059349</v>
      </c>
      <c r="M107" s="36" t="n">
        <f aca="false">IF(B107&lt;=Parametros!$C$14,0,INDEX($L$8:$L$125,B107-Parametros!$C$14))</f>
        <v>160.089530814104</v>
      </c>
      <c r="N107" s="37" t="n">
        <f aca="false">D107/Parametros!$C$18*G107/Parametros!$C$6</f>
        <v>1.0544701378305</v>
      </c>
    </row>
    <row r="108" customFormat="false" ht="15" hidden="false" customHeight="false" outlineLevel="0" collapsed="false">
      <c r="B108" s="31" t="n">
        <f aca="false">Datos_OWID!B106</f>
        <v>101</v>
      </c>
      <c r="C108" s="32" t="n">
        <f aca="false">Datos_OWID!C106</f>
        <v>44598</v>
      </c>
      <c r="D108" s="33" t="n">
        <f aca="false">IFERROR(INDEX(Tramos_Beta!$G$6:$G$14,MATCH(B108,Tramos_Beta!$E$6:$E$14,1)),INDEX(Tramos_Beta!$G$6:$G$14,1))</f>
        <v>1.2696</v>
      </c>
      <c r="E108" s="34" t="n">
        <f aca="false">Datos_OWID!I106/Parametros!$C$6</f>
        <v>0.723723258924722</v>
      </c>
      <c r="F108" s="35" t="n">
        <f aca="false">Parametros!$C$13*(1-E108*Parametros!$C$15)</f>
        <v>0.00296036231251617</v>
      </c>
      <c r="G108" s="36" t="n">
        <f aca="false">MAX(0,G107-D107*G107*H107/Parametros!$C$6)</f>
        <v>26396037.8935967</v>
      </c>
      <c r="H108" s="36" t="n">
        <f aca="false">MAX(0,H107+D107*G107*H107/Parametros!$C$6-Parametros!$C$18*H107)</f>
        <v>88715.8607955227</v>
      </c>
      <c r="I108" s="36" t="n">
        <f aca="false">I107+Parametros!$C$18*(1-F107)*H107</f>
        <v>18915960.7156046</v>
      </c>
      <c r="J108" s="36" t="n">
        <f aca="false">J107+Parametros!$C$18*F107*H107</f>
        <v>109609.530003188</v>
      </c>
      <c r="K108" s="36" t="n">
        <f aca="false">MAX(0,G107-G108)</f>
        <v>63078.6271134466</v>
      </c>
      <c r="L108" s="36" t="n">
        <f aca="false">J108-J107</f>
        <v>178.743145351924</v>
      </c>
      <c r="M108" s="36" t="n">
        <f aca="false">IF(B108&lt;=Parametros!$C$14,0,INDEX($L$8:$L$125,B108-Parametros!$C$14))</f>
        <v>163.985794302047</v>
      </c>
      <c r="N108" s="37" t="n">
        <f aca="false">D108/Parametros!$C$18*G108/Parametros!$C$6</f>
        <v>1.05195627730253</v>
      </c>
    </row>
    <row r="109" customFormat="false" ht="15" hidden="false" customHeight="false" outlineLevel="0" collapsed="false">
      <c r="B109" s="31" t="n">
        <f aca="false">Datos_OWID!B107</f>
        <v>102</v>
      </c>
      <c r="C109" s="32" t="n">
        <f aca="false">Datos_OWID!C107</f>
        <v>44605</v>
      </c>
      <c r="D109" s="33" t="n">
        <f aca="false">IFERROR(INDEX(Tramos_Beta!$G$6:$G$14,MATCH(B109,Tramos_Beta!$E$6:$E$14,1)),INDEX(Tramos_Beta!$G$6:$G$14,1))</f>
        <v>1.2696</v>
      </c>
      <c r="E109" s="34" t="n">
        <f aca="false">Datos_OWID!I107/Parametros!$C$6</f>
        <v>0.730299151462864</v>
      </c>
      <c r="F109" s="35" t="n">
        <f aca="false">Parametros!$C$13*(1-E109*Parametros!$C$15)</f>
        <v>0.00293274356385597</v>
      </c>
      <c r="G109" s="36" t="n">
        <f aca="false">MAX(0,G108-D108*G108*H108/Parametros!$C$6)</f>
        <v>26330710.2489346</v>
      </c>
      <c r="H109" s="36" t="n">
        <f aca="false">MAX(0,H108+D108*G108*H108/Parametros!$C$6-Parametros!$C$18*H108)</f>
        <v>91942.4029007601</v>
      </c>
      <c r="I109" s="36" t="n">
        <f aca="false">I108+Parametros!$C$18*(1-F108)*H108</f>
        <v>18977877.9763979</v>
      </c>
      <c r="J109" s="36" t="n">
        <f aca="false">J108+Parametros!$C$18*F108*H108</f>
        <v>109793.371766763</v>
      </c>
      <c r="K109" s="36" t="n">
        <f aca="false">MAX(0,G108-G109)</f>
        <v>65327.6446621046</v>
      </c>
      <c r="L109" s="36" t="n">
        <f aca="false">J109-J108</f>
        <v>183.841763575052</v>
      </c>
      <c r="M109" s="36" t="n">
        <f aca="false">IF(B109&lt;=Parametros!$C$14,0,INDEX($L$8:$L$125,B109-Parametros!$C$14))</f>
        <v>168.680818641849</v>
      </c>
      <c r="N109" s="37" t="n">
        <f aca="false">D109/Parametros!$C$18*G109/Parametros!$C$6</f>
        <v>1.04935278710598</v>
      </c>
    </row>
    <row r="110" customFormat="false" ht="15" hidden="false" customHeight="false" outlineLevel="0" collapsed="false">
      <c r="B110" s="31" t="n">
        <f aca="false">Datos_OWID!B108</f>
        <v>103</v>
      </c>
      <c r="C110" s="32" t="n">
        <f aca="false">Datos_OWID!C108</f>
        <v>44612</v>
      </c>
      <c r="D110" s="33" t="n">
        <f aca="false">IFERROR(INDEX(Tramos_Beta!$G$6:$G$14,MATCH(B110,Tramos_Beta!$E$6:$E$14,1)),INDEX(Tramos_Beta!$G$6:$G$14,1))</f>
        <v>1.2696</v>
      </c>
      <c r="E110" s="34" t="n">
        <f aca="false">Datos_OWID!I108/Parametros!$C$6</f>
        <v>0.736107064410264</v>
      </c>
      <c r="F110" s="35" t="n">
        <f aca="false">Parametros!$C$13*(1-E110*Parametros!$C$15)</f>
        <v>0.00290835032947689</v>
      </c>
      <c r="G110" s="36" t="n">
        <f aca="false">MAX(0,G109-D109*G109*H109/Parametros!$C$6)</f>
        <v>26263174.2372186</v>
      </c>
      <c r="H110" s="36" t="n">
        <f aca="false">MAX(0,H109+D109*G109*H109/Parametros!$C$6-Parametros!$C$18*H109)</f>
        <v>95118.7325862217</v>
      </c>
      <c r="I110" s="36" t="n">
        <f aca="false">I109+Parametros!$C$18*(1-F109)*H109</f>
        <v>19042048.9079851</v>
      </c>
      <c r="J110" s="36" t="n">
        <f aca="false">J109+Parametros!$C$18*F109*H109</f>
        <v>109982.122210009</v>
      </c>
      <c r="K110" s="36" t="n">
        <f aca="false">MAX(0,G109-G110)</f>
        <v>67536.0117159933</v>
      </c>
      <c r="L110" s="36" t="n">
        <f aca="false">J110-J109</f>
        <v>188.750443246856</v>
      </c>
      <c r="M110" s="36" t="n">
        <f aca="false">IF(B110&lt;=Parametros!$C$14,0,INDEX($L$8:$L$125,B110-Parametros!$C$14))</f>
        <v>173.75874059349</v>
      </c>
      <c r="N110" s="37" t="n">
        <f aca="false">D110/Parametros!$C$18*G110/Parametros!$C$6</f>
        <v>1.0466612872773</v>
      </c>
    </row>
    <row r="111" customFormat="false" ht="15" hidden="false" customHeight="false" outlineLevel="0" collapsed="false">
      <c r="B111" s="31" t="n">
        <f aca="false">Datos_OWID!B109</f>
        <v>104</v>
      </c>
      <c r="C111" s="32" t="n">
        <f aca="false">Datos_OWID!C109</f>
        <v>44619</v>
      </c>
      <c r="D111" s="33" t="n">
        <f aca="false">IFERROR(INDEX(Tramos_Beta!$G$6:$G$14,MATCH(B111,Tramos_Beta!$E$6:$E$14,1)),INDEX(Tramos_Beta!$G$6:$G$14,1))</f>
        <v>0.815</v>
      </c>
      <c r="E111" s="34" t="n">
        <f aca="false">Datos_OWID!I109/Parametros!$C$6</f>
        <v>0.741705068942159</v>
      </c>
      <c r="F111" s="35" t="n">
        <f aca="false">Parametros!$C$13*(1-E111*Parametros!$C$15)</f>
        <v>0.00288483871044293</v>
      </c>
      <c r="G111" s="36" t="n">
        <f aca="false">MAX(0,G110-D110*G110*H110/Parametros!$C$6)</f>
        <v>26193484.2706536</v>
      </c>
      <c r="H111" s="36" t="n">
        <f aca="false">MAX(0,H110+D110*G110*H110/Parametros!$C$6-Parametros!$C$18*H110)</f>
        <v>98225.5863408823</v>
      </c>
      <c r="I111" s="36" t="n">
        <f aca="false">I110+Parametros!$C$18*(1-F110)*H110</f>
        <v>19108438.3737774</v>
      </c>
      <c r="J111" s="36" t="n">
        <f aca="false">J110+Parametros!$C$18*F110*H110</f>
        <v>110175.769228089</v>
      </c>
      <c r="K111" s="36" t="n">
        <f aca="false">MAX(0,G110-G111)</f>
        <v>69689.9665650167</v>
      </c>
      <c r="L111" s="36" t="n">
        <f aca="false">J111-J110</f>
        <v>193.647018079588</v>
      </c>
      <c r="M111" s="36" t="n">
        <f aca="false">IF(B111&lt;=Parametros!$C$14,0,INDEX($L$8:$L$125,B111-Parametros!$C$14))</f>
        <v>178.743145351924</v>
      </c>
      <c r="N111" s="37" t="n">
        <f aca="false">D111/Parametros!$C$18*G111/Parametros!$C$6</f>
        <v>0.67010508524812</v>
      </c>
    </row>
    <row r="112" customFormat="false" ht="15" hidden="false" customHeight="false" outlineLevel="0" collapsed="false">
      <c r="B112" s="31" t="n">
        <f aca="false">Datos_OWID!B110</f>
        <v>105</v>
      </c>
      <c r="C112" s="32" t="n">
        <f aca="false">Datos_OWID!C110</f>
        <v>44626</v>
      </c>
      <c r="D112" s="33" t="n">
        <f aca="false">IFERROR(INDEX(Tramos_Beta!$G$6:$G$14,MATCH(B112,Tramos_Beta!$E$6:$E$14,1)),INDEX(Tramos_Beta!$G$6:$G$14,1))</f>
        <v>0.815</v>
      </c>
      <c r="E112" s="34" t="n">
        <f aca="false">Datos_OWID!I110/Parametros!$C$6</f>
        <v>0.744248601701891</v>
      </c>
      <c r="F112" s="35" t="n">
        <f aca="false">Parametros!$C$13*(1-E112*Parametros!$C$15)</f>
        <v>0.00287415587285206</v>
      </c>
      <c r="G112" s="36" t="n">
        <f aca="false">MAX(0,G111-D111*G111*H111/Parametros!$C$6)</f>
        <v>26147409.2452177</v>
      </c>
      <c r="H112" s="36" t="n">
        <f aca="false">MAX(0,H111+D111*G111*H111/Parametros!$C$6-Parametros!$C$18*H111)</f>
        <v>75542.7013382171</v>
      </c>
      <c r="I112" s="36" t="n">
        <f aca="false">I111+Parametros!$C$18*(1-F111)*H111</f>
        <v>19176997.9287343</v>
      </c>
      <c r="J112" s="36" t="n">
        <f aca="false">J111+Parametros!$C$18*F111*H111</f>
        <v>110374.124709772</v>
      </c>
      <c r="K112" s="36" t="n">
        <f aca="false">MAX(0,G111-G112)</f>
        <v>46075.0254359506</v>
      </c>
      <c r="L112" s="36" t="n">
        <f aca="false">J112-J111</f>
        <v>198.355481682491</v>
      </c>
      <c r="M112" s="36" t="n">
        <f aca="false">IF(B112&lt;=Parametros!$C$14,0,INDEX($L$8:$L$125,B112-Parametros!$C$14))</f>
        <v>183.841763575052</v>
      </c>
      <c r="N112" s="37" t="n">
        <f aca="false">D112/Parametros!$C$18*G112/Parametros!$C$6</f>
        <v>0.668926352837856</v>
      </c>
    </row>
    <row r="113" customFormat="false" ht="15" hidden="false" customHeight="false" outlineLevel="0" collapsed="false">
      <c r="B113" s="31" t="n">
        <f aca="false">Datos_OWID!B111</f>
        <v>106</v>
      </c>
      <c r="C113" s="32" t="n">
        <f aca="false">Datos_OWID!C111</f>
        <v>44633</v>
      </c>
      <c r="D113" s="33" t="n">
        <f aca="false">IFERROR(INDEX(Tramos_Beta!$G$6:$G$14,MATCH(B113,Tramos_Beta!$E$6:$E$14,1)),INDEX(Tramos_Beta!$G$6:$G$14,1))</f>
        <v>0.815</v>
      </c>
      <c r="E113" s="34" t="n">
        <f aca="false">Datos_OWID!I111/Parametros!$C$6</f>
        <v>0.746681983630791</v>
      </c>
      <c r="F113" s="35" t="n">
        <f aca="false">Parametros!$C$13*(1-E113*Parametros!$C$15)</f>
        <v>0.00286393566875068</v>
      </c>
      <c r="G113" s="36" t="n">
        <f aca="false">MAX(0,G112-D112*G112*H112/Parametros!$C$6)</f>
        <v>26112036.4926349</v>
      </c>
      <c r="H113" s="36" t="n">
        <f aca="false">MAX(0,H112+D112*G112*H112/Parametros!$C$6-Parametros!$C$18*H112)</f>
        <v>58035.5629842502</v>
      </c>
      <c r="I113" s="36" t="n">
        <f aca="false">I112+Parametros!$C$18*(1-F112)*H112</f>
        <v>19229725.834622</v>
      </c>
      <c r="J113" s="36" t="n">
        <f aca="false">J112+Parametros!$C$18*F112*H112</f>
        <v>110526.109758863</v>
      </c>
      <c r="K113" s="36" t="n">
        <f aca="false">MAX(0,G112-G113)</f>
        <v>35372.7525827847</v>
      </c>
      <c r="L113" s="36" t="n">
        <f aca="false">J113-J112</f>
        <v>151.985049091643</v>
      </c>
      <c r="M113" s="36" t="n">
        <f aca="false">IF(B113&lt;=Parametros!$C$14,0,INDEX($L$8:$L$125,B113-Parametros!$C$14))</f>
        <v>188.750443246856</v>
      </c>
      <c r="N113" s="37" t="n">
        <f aca="false">D113/Parametros!$C$18*G113/Parametros!$C$6</f>
        <v>0.66802141552062</v>
      </c>
    </row>
    <row r="114" customFormat="false" ht="15" hidden="false" customHeight="false" outlineLevel="0" collapsed="false">
      <c r="B114" s="31" t="n">
        <f aca="false">Datos_OWID!B112</f>
        <v>107</v>
      </c>
      <c r="C114" s="32" t="n">
        <f aca="false">Datos_OWID!C112</f>
        <v>44640</v>
      </c>
      <c r="D114" s="33" t="n">
        <f aca="false">IFERROR(INDEX(Tramos_Beta!$G$6:$G$14,MATCH(B114,Tramos_Beta!$E$6:$E$14,1)),INDEX(Tramos_Beta!$G$6:$G$14,1))</f>
        <v>0.815</v>
      </c>
      <c r="E114" s="34" t="n">
        <f aca="false">Datos_OWID!I112/Parametros!$C$6</f>
        <v>0.749020903476758</v>
      </c>
      <c r="F114" s="35" t="n">
        <f aca="false">Parametros!$C$13*(1-E114*Parametros!$C$15)</f>
        <v>0.00285411220539762</v>
      </c>
      <c r="G114" s="36" t="n">
        <f aca="false">MAX(0,G113-D113*G113*H113/Parametros!$C$6)</f>
        <v>26084898.1933802</v>
      </c>
      <c r="H114" s="36" t="n">
        <f aca="false">MAX(0,H113+D113*G113*H113/Parametros!$C$6-Parametros!$C$18*H113)</f>
        <v>44548.9681499675</v>
      </c>
      <c r="I114" s="36" t="n">
        <f aca="false">I113+Parametros!$C$18*(1-F113)*H113</f>
        <v>19270234.3816278</v>
      </c>
      <c r="J114" s="36" t="n">
        <f aca="false">J113+Parametros!$C$18*F113*H113</f>
        <v>110642.456842084</v>
      </c>
      <c r="K114" s="36" t="n">
        <f aca="false">MAX(0,G113-G114)</f>
        <v>27138.2992546931</v>
      </c>
      <c r="L114" s="36" t="n">
        <f aca="false">J114-J113</f>
        <v>116.347083220637</v>
      </c>
      <c r="M114" s="36" t="n">
        <f aca="false">IF(B114&lt;=Parametros!$C$14,0,INDEX($L$8:$L$125,B114-Parametros!$C$14))</f>
        <v>193.647018079588</v>
      </c>
      <c r="N114" s="37" t="n">
        <f aca="false">D114/Parametros!$C$18*G114/Parametros!$C$6</f>
        <v>0.667327139335457</v>
      </c>
    </row>
    <row r="115" customFormat="false" ht="15" hidden="false" customHeight="false" outlineLevel="0" collapsed="false">
      <c r="B115" s="31" t="n">
        <f aca="false">Datos_OWID!B113</f>
        <v>108</v>
      </c>
      <c r="C115" s="32" t="n">
        <f aca="false">Datos_OWID!C113</f>
        <v>44647</v>
      </c>
      <c r="D115" s="33" t="n">
        <f aca="false">IFERROR(INDEX(Tramos_Beta!$G$6:$G$14,MATCH(B115,Tramos_Beta!$E$6:$E$14,1)),INDEX(Tramos_Beta!$G$6:$G$14,1))</f>
        <v>0.815</v>
      </c>
      <c r="E115" s="34" t="n">
        <f aca="false">Datos_OWID!I113/Parametros!$C$6</f>
        <v>0.750568134825847</v>
      </c>
      <c r="F115" s="35" t="n">
        <f aca="false">Parametros!$C$13*(1-E115*Parametros!$C$15)</f>
        <v>0.00284761383373144</v>
      </c>
      <c r="G115" s="36" t="n">
        <f aca="false">MAX(0,G114-D114*G114*H114/Parametros!$C$6)</f>
        <v>26064088.0785471</v>
      </c>
      <c r="H115" s="36" t="n">
        <f aca="false">MAX(0,H114+D114*G114*H114/Parametros!$C$6-Parametros!$C$18*H114)</f>
        <v>34174.8052780952</v>
      </c>
      <c r="I115" s="36" t="n">
        <f aca="false">I114+Parametros!$C$18*(1-F114)*H114</f>
        <v>19301329.6559051</v>
      </c>
      <c r="J115" s="36" t="n">
        <f aca="false">J114+Parametros!$C$18*F114*H114</f>
        <v>110731.460269698</v>
      </c>
      <c r="K115" s="36" t="n">
        <f aca="false">MAX(0,G114-G115)</f>
        <v>20810.1148331054</v>
      </c>
      <c r="L115" s="36" t="n">
        <f aca="false">J115-J114</f>
        <v>89.0034276142833</v>
      </c>
      <c r="M115" s="36" t="n">
        <f aca="false">IF(B115&lt;=Parametros!$C$14,0,INDEX($L$8:$L$125,B115-Parametros!$C$14))</f>
        <v>198.355481682491</v>
      </c>
      <c r="N115" s="37" t="n">
        <f aca="false">D115/Parametros!$C$18*G115/Parametros!$C$6</f>
        <v>0.666794756410368</v>
      </c>
    </row>
    <row r="116" customFormat="false" ht="15" hidden="false" customHeight="false" outlineLevel="0" collapsed="false">
      <c r="B116" s="31" t="n">
        <f aca="false">Datos_OWID!B114</f>
        <v>109</v>
      </c>
      <c r="C116" s="32" t="n">
        <f aca="false">Datos_OWID!C114</f>
        <v>44654</v>
      </c>
      <c r="D116" s="33" t="n">
        <f aca="false">IFERROR(INDEX(Tramos_Beta!$G$6:$G$14,MATCH(B116,Tramos_Beta!$E$6:$E$14,1)),INDEX(Tramos_Beta!$G$6:$G$14,1))</f>
        <v>0.815</v>
      </c>
      <c r="E116" s="34" t="n">
        <f aca="false">Datos_OWID!I114/Parametros!$C$6</f>
        <v>0.752107455881879</v>
      </c>
      <c r="F116" s="35" t="n">
        <f aca="false">Parametros!$C$13*(1-E116*Parametros!$C$15)</f>
        <v>0.00284114868529611</v>
      </c>
      <c r="G116" s="36" t="n">
        <f aca="false">MAX(0,G115-D115*G115*H115/Parametros!$C$6)</f>
        <v>26048136.7718745</v>
      </c>
      <c r="H116" s="36" t="n">
        <f aca="false">MAX(0,H115+D115*G115*H115/Parametros!$C$6-Parametros!$C$18*H115)</f>
        <v>26203.748255974</v>
      </c>
      <c r="I116" s="36" t="n">
        <f aca="false">I115+Parametros!$C$18*(1-F115)*H115</f>
        <v>19325183.897946</v>
      </c>
      <c r="J116" s="36" t="n">
        <f aca="false">J115+Parametros!$C$18*F115*H115</f>
        <v>110799.581923491</v>
      </c>
      <c r="K116" s="36" t="n">
        <f aca="false">MAX(0,G115-G116)</f>
        <v>15951.306672547</v>
      </c>
      <c r="L116" s="36" t="n">
        <f aca="false">J116-J115</f>
        <v>68.121653792492</v>
      </c>
      <c r="M116" s="36" t="n">
        <f aca="false">IF(B116&lt;=Parametros!$C$14,0,INDEX($L$8:$L$125,B116-Parametros!$C$14))</f>
        <v>151.985049091643</v>
      </c>
      <c r="N116" s="37" t="n">
        <f aca="false">D116/Parametros!$C$18*G116/Parametros!$C$6</f>
        <v>0.666386675850823</v>
      </c>
    </row>
    <row r="117" customFormat="false" ht="15" hidden="false" customHeight="false" outlineLevel="0" collapsed="false">
      <c r="B117" s="31" t="n">
        <f aca="false">Datos_OWID!B115</f>
        <v>110</v>
      </c>
      <c r="C117" s="32" t="n">
        <f aca="false">Datos_OWID!C115</f>
        <v>44661</v>
      </c>
      <c r="D117" s="33" t="n">
        <f aca="false">IFERROR(INDEX(Tramos_Beta!$G$6:$G$14,MATCH(B117,Tramos_Beta!$E$6:$E$14,1)),INDEX(Tramos_Beta!$G$6:$G$14,1))</f>
        <v>0.815</v>
      </c>
      <c r="E117" s="34" t="n">
        <f aca="false">Datos_OWID!I115/Parametros!$C$6</f>
        <v>0.753408830928121</v>
      </c>
      <c r="F117" s="35" t="n">
        <f aca="false">Parametros!$C$13*(1-E117*Parametros!$C$15)</f>
        <v>0.00283568291010189</v>
      </c>
      <c r="G117" s="36" t="n">
        <f aca="false">MAX(0,G116-D116*G116*H116/Parametros!$C$6)</f>
        <v>26035913.4917879</v>
      </c>
      <c r="H117" s="36" t="n">
        <f aca="false">MAX(0,H116+D116*G116*H116/Parametros!$C$6-Parametros!$C$18*H116)</f>
        <v>20084.4045633834</v>
      </c>
      <c r="I117" s="36" t="n">
        <f aca="false">I116+Parametros!$C$18*(1-F116)*H116</f>
        <v>19343474.4076037</v>
      </c>
      <c r="J117" s="36" t="n">
        <f aca="false">J116+Parametros!$C$18*F116*H116</f>
        <v>110851.696044926</v>
      </c>
      <c r="K117" s="36" t="n">
        <f aca="false">MAX(0,G116-G117)</f>
        <v>12223.2800865918</v>
      </c>
      <c r="L117" s="36" t="n">
        <f aca="false">J117-J116</f>
        <v>52.1141214351082</v>
      </c>
      <c r="M117" s="36" t="n">
        <f aca="false">IF(B117&lt;=Parametros!$C$14,0,INDEX($L$8:$L$125,B117-Parametros!$C$14))</f>
        <v>116.347083220637</v>
      </c>
      <c r="N117" s="37" t="n">
        <f aca="false">D117/Parametros!$C$18*G117/Parametros!$C$6</f>
        <v>0.666073968993659</v>
      </c>
    </row>
    <row r="118" customFormat="false" ht="15" hidden="false" customHeight="false" outlineLevel="0" collapsed="false">
      <c r="B118" s="31" t="n">
        <f aca="false">Datos_OWID!B116</f>
        <v>111</v>
      </c>
      <c r="C118" s="32" t="n">
        <f aca="false">Datos_OWID!C116</f>
        <v>44668</v>
      </c>
      <c r="D118" s="33" t="n">
        <f aca="false">IFERROR(INDEX(Tramos_Beta!$G$6:$G$14,MATCH(B118,Tramos_Beta!$E$6:$E$14,1)),INDEX(Tramos_Beta!$G$6:$G$14,1))</f>
        <v>0.815</v>
      </c>
      <c r="E118" s="34" t="n">
        <f aca="false">Datos_OWID!I116/Parametros!$C$6</f>
        <v>0.75416485718713</v>
      </c>
      <c r="F118" s="35" t="n">
        <f aca="false">Parametros!$C$13*(1-E118*Parametros!$C$15)</f>
        <v>0.00283250759981406</v>
      </c>
      <c r="G118" s="36" t="n">
        <f aca="false">MAX(0,G117-D117*G117*H117/Parametros!$C$6)</f>
        <v>26026549.1024442</v>
      </c>
      <c r="H118" s="36" t="n">
        <f aca="false">MAX(0,H117+D117*G117*H117/Parametros!$C$6-Parametros!$C$18*H117)</f>
        <v>15389.7107127</v>
      </c>
      <c r="I118" s="36" t="n">
        <f aca="false">I117+Parametros!$C$18*(1-F117)*H117</f>
        <v>19357493.6236962</v>
      </c>
      <c r="J118" s="36" t="n">
        <f aca="false">J117+Parametros!$C$18*F117*H117</f>
        <v>110891.563146872</v>
      </c>
      <c r="K118" s="36" t="n">
        <f aca="false">MAX(0,G117-G118)</f>
        <v>9364.3893436864</v>
      </c>
      <c r="L118" s="36" t="n">
        <f aca="false">J118-J117</f>
        <v>39.8671019459725</v>
      </c>
      <c r="M118" s="36" t="n">
        <f aca="false">IF(B118&lt;=Parametros!$C$14,0,INDEX($L$8:$L$125,B118-Parametros!$C$14))</f>
        <v>89.0034276142833</v>
      </c>
      <c r="N118" s="37" t="n">
        <f aca="false">D118/Parametros!$C$18*G118/Parametros!$C$6</f>
        <v>0.665834400830271</v>
      </c>
    </row>
    <row r="119" customFormat="false" ht="15" hidden="false" customHeight="false" outlineLevel="0" collapsed="false">
      <c r="B119" s="31" t="n">
        <f aca="false">Datos_OWID!B117</f>
        <v>112</v>
      </c>
      <c r="C119" s="32" t="n">
        <f aca="false">Datos_OWID!C117</f>
        <v>44675</v>
      </c>
      <c r="D119" s="33" t="n">
        <f aca="false">IFERROR(INDEX(Tramos_Beta!$G$6:$G$14,MATCH(B119,Tramos_Beta!$E$6:$E$14,1)),INDEX(Tramos_Beta!$G$6:$G$14,1))</f>
        <v>0.815</v>
      </c>
      <c r="E119" s="34" t="n">
        <f aca="false">Datos_OWID!I117/Parametros!$C$6</f>
        <v>0.755292864977186</v>
      </c>
      <c r="F119" s="35" t="n">
        <f aca="false">Parametros!$C$13*(1-E119*Parametros!$C$15)</f>
        <v>0.00282776996709582</v>
      </c>
      <c r="G119" s="36" t="n">
        <f aca="false">MAX(0,G118-D118*G118*H118/Parametros!$C$6)</f>
        <v>26019376.2032763</v>
      </c>
      <c r="H119" s="36" t="n">
        <f aca="false">MAX(0,H118+D118*G118*H118/Parametros!$C$6-Parametros!$C$18*H118)</f>
        <v>11789.8123817493</v>
      </c>
      <c r="I119" s="36" t="n">
        <f aca="false">I118+Parametros!$C$18*(1-F118)*H118</f>
        <v>19368235.9071643</v>
      </c>
      <c r="J119" s="36" t="n">
        <f aca="false">J118+Parametros!$C$18*F118*H118</f>
        <v>110922.077177659</v>
      </c>
      <c r="K119" s="36" t="n">
        <f aca="false">MAX(0,G118-G119)</f>
        <v>7172.89916794002</v>
      </c>
      <c r="L119" s="36" t="n">
        <f aca="false">J119-J118</f>
        <v>30.5140307868569</v>
      </c>
      <c r="M119" s="36" t="n">
        <f aca="false">IF(B119&lt;=Parametros!$C$14,0,INDEX($L$8:$L$125,B119-Parametros!$C$14))</f>
        <v>68.121653792492</v>
      </c>
      <c r="N119" s="37" t="n">
        <f aca="false">D119/Parametros!$C$18*G119/Parametros!$C$6</f>
        <v>0.665650897323875</v>
      </c>
    </row>
    <row r="120" customFormat="false" ht="15" hidden="false" customHeight="false" outlineLevel="0" collapsed="false">
      <c r="B120" s="31" t="n">
        <f aca="false">Datos_OWID!B118</f>
        <v>113</v>
      </c>
      <c r="C120" s="32" t="n">
        <f aca="false">Datos_OWID!C118</f>
        <v>44682</v>
      </c>
      <c r="D120" s="33" t="n">
        <f aca="false">IFERROR(INDEX(Tramos_Beta!$G$6:$G$14,MATCH(B120,Tramos_Beta!$E$6:$E$14,1)),INDEX(Tramos_Beta!$G$6:$G$14,1))</f>
        <v>0.815</v>
      </c>
      <c r="E120" s="34" t="n">
        <f aca="false">Datos_OWID!I118/Parametros!$C$6</f>
        <v>0.75630654705952</v>
      </c>
      <c r="F120" s="35" t="n">
        <f aca="false">Parametros!$C$13*(1-E120*Parametros!$C$15)</f>
        <v>0.00282351250235002</v>
      </c>
      <c r="G120" s="36" t="n">
        <f aca="false">MAX(0,G119-D119*G119*H119/Parametros!$C$6)</f>
        <v>26013882.6738425</v>
      </c>
      <c r="H120" s="36" t="n">
        <f aca="false">MAX(0,H119+D119*G119*H119/Parametros!$C$6-Parametros!$C$18*H119)</f>
        <v>9030.47314835887</v>
      </c>
      <c r="I120" s="36" t="n">
        <f aca="false">I119+Parametros!$C$18*(1-F119)*H119</f>
        <v>19376465.4386173</v>
      </c>
      <c r="J120" s="36" t="n">
        <f aca="false">J119+Parametros!$C$18*F119*H119</f>
        <v>110945.414391818</v>
      </c>
      <c r="K120" s="36" t="n">
        <f aca="false">MAX(0,G119-G120)</f>
        <v>5493.5294338353</v>
      </c>
      <c r="L120" s="36" t="n">
        <f aca="false">J120-J119</f>
        <v>23.337214159561</v>
      </c>
      <c r="M120" s="36" t="n">
        <f aca="false">IF(B120&lt;=Parametros!$C$14,0,INDEX($L$8:$L$125,B120-Parametros!$C$14))</f>
        <v>52.1141214351082</v>
      </c>
      <c r="N120" s="37" t="n">
        <f aca="false">D120/Parametros!$C$18*G120/Parametros!$C$6</f>
        <v>0.665510356952402</v>
      </c>
    </row>
    <row r="121" customFormat="false" ht="15" hidden="false" customHeight="false" outlineLevel="0" collapsed="false">
      <c r="B121" s="31" t="n">
        <f aca="false">Datos_OWID!B119</f>
        <v>114</v>
      </c>
      <c r="C121" s="32" t="n">
        <f aca="false">Datos_OWID!C119</f>
        <v>44689</v>
      </c>
      <c r="D121" s="33" t="n">
        <f aca="false">IFERROR(INDEX(Tramos_Beta!$G$6:$G$14,MATCH(B121,Tramos_Beta!$E$6:$E$14,1)),INDEX(Tramos_Beta!$G$6:$G$14,1))</f>
        <v>0.815</v>
      </c>
      <c r="E121" s="34" t="n">
        <f aca="false">Datos_OWID!I119/Parametros!$C$6</f>
        <v>0.757585443689656</v>
      </c>
      <c r="F121" s="35" t="n">
        <f aca="false">Parametros!$C$13*(1-E121*Parametros!$C$15)</f>
        <v>0.00281814113650345</v>
      </c>
      <c r="G121" s="36" t="n">
        <f aca="false">MAX(0,G120-D120*G120*H120/Parametros!$C$6)</f>
        <v>26009675.7624566</v>
      </c>
      <c r="H121" s="36" t="n">
        <f aca="false">MAX(0,H120+D120*G120*H120/Parametros!$C$6-Parametros!$C$18*H120)</f>
        <v>6916.05333039703</v>
      </c>
      <c r="I121" s="36" t="n">
        <f aca="false">I120+Parametros!$C$18*(1-F120)*H120</f>
        <v>19382768.9214635</v>
      </c>
      <c r="J121" s="36" t="n">
        <f aca="false">J120+Parametros!$C$18*F120*H120</f>
        <v>110963.262749504</v>
      </c>
      <c r="K121" s="36" t="n">
        <f aca="false">MAX(0,G120-G121)</f>
        <v>4206.9113858901</v>
      </c>
      <c r="L121" s="36" t="n">
        <f aca="false">J121-J120</f>
        <v>17.8483576855651</v>
      </c>
      <c r="M121" s="36" t="n">
        <f aca="false">IF(B121&lt;=Parametros!$C$14,0,INDEX($L$8:$L$125,B121-Parametros!$C$14))</f>
        <v>39.8671019459725</v>
      </c>
      <c r="N121" s="37" t="n">
        <f aca="false">D121/Parametros!$C$18*G121/Parametros!$C$6</f>
        <v>0.665402731991791</v>
      </c>
    </row>
    <row r="122" customFormat="false" ht="15" hidden="false" customHeight="false" outlineLevel="0" collapsed="false">
      <c r="B122" s="31" t="n">
        <f aca="false">Datos_OWID!B120</f>
        <v>115</v>
      </c>
      <c r="C122" s="32" t="n">
        <f aca="false">Datos_OWID!C120</f>
        <v>44696</v>
      </c>
      <c r="D122" s="33" t="n">
        <f aca="false">IFERROR(INDEX(Tramos_Beta!$G$6:$G$14,MATCH(B122,Tramos_Beta!$E$6:$E$14,1)),INDEX(Tramos_Beta!$G$6:$G$14,1))</f>
        <v>0.815</v>
      </c>
      <c r="E122" s="34" t="n">
        <f aca="false">Datos_OWID!I120/Parametros!$C$6</f>
        <v>0.758523604446323</v>
      </c>
      <c r="F122" s="35" t="n">
        <f aca="false">Parametros!$C$13*(1-E122*Parametros!$C$15)</f>
        <v>0.00281420086132544</v>
      </c>
      <c r="G122" s="36" t="n">
        <f aca="false">MAX(0,G121-D121*G121*H121/Parametros!$C$6)</f>
        <v>26006454.3899101</v>
      </c>
      <c r="H122" s="36" t="n">
        <f aca="false">MAX(0,H121+D121*G121*H121/Parametros!$C$6-Parametros!$C$18*H121)</f>
        <v>5296.18854557209</v>
      </c>
      <c r="I122" s="36" t="n">
        <f aca="false">I121+Parametros!$C$18*(1-F121)*H121</f>
        <v>19387596.5155047</v>
      </c>
      <c r="J122" s="36" t="n">
        <f aca="false">J121+Parametros!$C$18*F121*H121</f>
        <v>110976.906039579</v>
      </c>
      <c r="K122" s="36" t="n">
        <f aca="false">MAX(0,G121-G122)</f>
        <v>3221.37254645303</v>
      </c>
      <c r="L122" s="36" t="n">
        <f aca="false">J122-J121</f>
        <v>13.6432900748478</v>
      </c>
      <c r="M122" s="36" t="n">
        <f aca="false">IF(B122&lt;=Parametros!$C$14,0,INDEX($L$8:$L$125,B122-Parametros!$C$14))</f>
        <v>30.5140307868569</v>
      </c>
      <c r="N122" s="37" t="n">
        <f aca="false">D122/Parametros!$C$18*G122/Parametros!$C$6</f>
        <v>0.6653203199651</v>
      </c>
    </row>
    <row r="123" customFormat="false" ht="15" hidden="false" customHeight="false" outlineLevel="0" collapsed="false">
      <c r="B123" s="31" t="n">
        <f aca="false">Datos_OWID!B121</f>
        <v>116</v>
      </c>
      <c r="C123" s="32" t="n">
        <f aca="false">Datos_OWID!C121</f>
        <v>44703</v>
      </c>
      <c r="D123" s="33" t="n">
        <f aca="false">IFERROR(INDEX(Tramos_Beta!$G$6:$G$14,MATCH(B123,Tramos_Beta!$E$6:$E$14,1)),INDEX(Tramos_Beta!$G$6:$G$14,1))</f>
        <v>0.815</v>
      </c>
      <c r="E123" s="34" t="n">
        <f aca="false">Datos_OWID!I121/Parametros!$C$6</f>
        <v>0.759121117221666</v>
      </c>
      <c r="F123" s="35" t="n">
        <f aca="false">Parametros!$C$13*(1-E123*Parametros!$C$15)</f>
        <v>0.002811691307669</v>
      </c>
      <c r="G123" s="36" t="n">
        <f aca="false">MAX(0,G122-D122*G122*H122/Parametros!$C$6)</f>
        <v>26003987.8266097</v>
      </c>
      <c r="H123" s="36" t="n">
        <f aca="false">MAX(0,H122+D122*G122*H122/Parametros!$C$6-Parametros!$C$18*H122)</f>
        <v>4055.41986408649</v>
      </c>
      <c r="I123" s="36" t="n">
        <f aca="false">I122+Parametros!$C$18*(1-F122)*H122</f>
        <v>19391293.4143098</v>
      </c>
      <c r="J123" s="36" t="n">
        <f aca="false">J122+Parametros!$C$18*F122*H122</f>
        <v>110987.339216435</v>
      </c>
      <c r="K123" s="36" t="n">
        <f aca="false">MAX(0,G122-G123)</f>
        <v>2466.56330041587</v>
      </c>
      <c r="L123" s="36" t="n">
        <f aca="false">J123-J122</f>
        <v>10.4331768566772</v>
      </c>
      <c r="M123" s="36" t="n">
        <f aca="false">IF(B123&lt;=Parametros!$C$14,0,INDEX($L$8:$L$125,B123-Parametros!$C$14))</f>
        <v>23.337214159561</v>
      </c>
      <c r="N123" s="37" t="n">
        <f aca="false">D123/Parametros!$C$18*G123/Parametros!$C$6</f>
        <v>0.665257218142005</v>
      </c>
    </row>
    <row r="124" customFormat="false" ht="15" hidden="false" customHeight="false" outlineLevel="0" collapsed="false">
      <c r="B124" s="31" t="n">
        <f aca="false">Datos_OWID!B122</f>
        <v>117</v>
      </c>
      <c r="C124" s="32" t="n">
        <f aca="false">Datos_OWID!C122</f>
        <v>44710</v>
      </c>
      <c r="D124" s="33" t="n">
        <f aca="false">IFERROR(INDEX(Tramos_Beta!$G$6:$G$14,MATCH(B124,Tramos_Beta!$E$6:$E$14,1)),INDEX(Tramos_Beta!$G$6:$G$14,1))</f>
        <v>0.815</v>
      </c>
      <c r="E124" s="34" t="n">
        <f aca="false">Datos_OWID!I122/Parametros!$C$6</f>
        <v>0.759662972296132</v>
      </c>
      <c r="F124" s="35" t="n">
        <f aca="false">Parametros!$C$13*(1-E124*Parametros!$C$15)</f>
        <v>0.00280941551635625</v>
      </c>
      <c r="G124" s="36" t="n">
        <f aca="false">MAX(0,G123-D123*G123*H123/Parametros!$C$6)</f>
        <v>26002099.2984737</v>
      </c>
      <c r="H124" s="36" t="n">
        <f aca="false">MAX(0,H123+D123*G123*H123/Parametros!$C$6-Parametros!$C$18*H123)</f>
        <v>3105.15409525195</v>
      </c>
      <c r="I124" s="36" t="n">
        <f aca="false">I123+Parametros!$C$18*(1-F123)*H123</f>
        <v>19394124.2264025</v>
      </c>
      <c r="J124" s="36" t="n">
        <f aca="false">J123+Parametros!$C$18*F123*H123</f>
        <v>110995.321028582</v>
      </c>
      <c r="K124" s="36" t="n">
        <f aca="false">MAX(0,G123-G124)</f>
        <v>1888.52813602611</v>
      </c>
      <c r="L124" s="36" t="n">
        <f aca="false">J124-J123</f>
        <v>7.98181214656506</v>
      </c>
      <c r="M124" s="36" t="n">
        <f aca="false">IF(B124&lt;=Parametros!$C$14,0,INDEX($L$8:$L$125,B124-Parametros!$C$14))</f>
        <v>17.8483576855651</v>
      </c>
      <c r="N124" s="37" t="n">
        <f aca="false">D124/Parametros!$C$18*G124/Parametros!$C$6</f>
        <v>0.665208904130226</v>
      </c>
    </row>
    <row r="125" customFormat="false" ht="15" hidden="false" customHeight="false" outlineLevel="0" collapsed="false">
      <c r="B125" s="31" t="n">
        <f aca="false">Datos_OWID!B123</f>
        <v>118</v>
      </c>
      <c r="C125" s="32" t="n">
        <f aca="false">Datos_OWID!C123</f>
        <v>44717</v>
      </c>
      <c r="D125" s="33" t="n">
        <f aca="false">IFERROR(INDEX(Tramos_Beta!$G$6:$G$14,MATCH(B125,Tramos_Beta!$E$6:$E$14,1)),INDEX(Tramos_Beta!$G$6:$G$14,1))</f>
        <v>0.815</v>
      </c>
      <c r="E125" s="34" t="n">
        <f aca="false">Datos_OWID!I123/Parametros!$C$6</f>
        <v>0.760123768839791</v>
      </c>
      <c r="F125" s="35" t="n">
        <f aca="false">Parametros!$C$13*(1-E125*Parametros!$C$15)</f>
        <v>0.00280748017087288</v>
      </c>
      <c r="G125" s="36" t="n">
        <f aca="false">MAX(0,G124-D124*G124*H124/Parametros!$C$6)</f>
        <v>26000653.3951667</v>
      </c>
      <c r="H125" s="36" t="n">
        <f aca="false">MAX(0,H124+D124*G124*H124/Parametros!$C$6-Parametros!$C$18*H124)</f>
        <v>2377.44953557621</v>
      </c>
      <c r="I125" s="36" t="n">
        <f aca="false">I124+Parametros!$C$18*(1-F124)*H124</f>
        <v>19396291.7277015</v>
      </c>
      <c r="J125" s="36" t="n">
        <f aca="false">J124+Parametros!$C$18*F124*H124</f>
        <v>111001.427596249</v>
      </c>
      <c r="K125" s="36" t="n">
        <f aca="false">MAX(0,G124-G125)</f>
        <v>1445.90330700204</v>
      </c>
      <c r="L125" s="36" t="n">
        <f aca="false">J125-J124</f>
        <v>6.10656766711327</v>
      </c>
      <c r="M125" s="36" t="n">
        <f aca="false">IF(B125&lt;=Parametros!$C$14,0,INDEX($L$8:$L$125,B125-Parametros!$C$14))</f>
        <v>13.6432900748478</v>
      </c>
      <c r="N125" s="37" t="n">
        <f aca="false">D125/Parametros!$C$18*G125/Parametros!$C$6</f>
        <v>0.665171913741746</v>
      </c>
    </row>
    <row r="127" customFormat="false" ht="15" hidden="false" customHeight="false" outlineLevel="0" collapsed="false">
      <c r="B127" s="18" t="s">
        <v>140</v>
      </c>
    </row>
    <row r="128" customFormat="false" ht="15" hidden="false" customHeight="false" outlineLevel="0" collapsed="false">
      <c r="B128" s="2" t="s">
        <v>141</v>
      </c>
      <c r="D128" s="36" t="n">
        <f aca="false">Parametros!$C$19-G125</f>
        <v>19509570.6048333</v>
      </c>
    </row>
    <row r="129" customFormat="false" ht="15" hidden="false" customHeight="false" outlineLevel="0" collapsed="false">
      <c r="B129" s="2" t="s">
        <v>142</v>
      </c>
      <c r="D129" s="36" t="n">
        <f aca="false">J125</f>
        <v>111001.427596249</v>
      </c>
    </row>
    <row r="130" customFormat="false" ht="15" hidden="false" customHeight="false" outlineLevel="0" collapsed="false">
      <c r="B130" s="2" t="s">
        <v>143</v>
      </c>
      <c r="D130" s="38" t="n">
        <f aca="false">SUM(Datos_OWID!E6:E123)</f>
        <v>128889</v>
      </c>
    </row>
    <row r="131" customFormat="false" ht="15" hidden="false" customHeight="false" outlineLevel="0" collapsed="false">
      <c r="B131" s="2" t="s">
        <v>144</v>
      </c>
      <c r="D131" s="34" t="n">
        <f aca="false">Modelo_SIRD!$D$128/Parametros!$C$6</f>
        <v>0.428684502550088</v>
      </c>
    </row>
    <row r="132" customFormat="false" ht="15" hidden="false" customHeight="false" outlineLevel="0" collapsed="false">
      <c r="B132" s="2" t="s">
        <v>145</v>
      </c>
      <c r="D132" s="39" t="n">
        <f aca="false">Modelo_SIRD!$D$128/SUM(Datos_OWID!D6:D123)</f>
        <v>2.11358174674891</v>
      </c>
    </row>
    <row r="133" customFormat="false" ht="15" hidden="false" customHeight="false" outlineLevel="0" collapsed="false">
      <c r="B133" s="8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3"/>
  </cols>
  <sheetData>
    <row r="2" customFormat="false" ht="17.35" hidden="false" customHeight="false" outlineLevel="0" collapsed="false">
      <c r="B2" s="1" t="s">
        <v>147</v>
      </c>
    </row>
    <row r="3" customFormat="false" ht="15" hidden="false" customHeight="false" outlineLevel="0" collapsed="false">
      <c r="B3" s="8" t="s">
        <v>148</v>
      </c>
    </row>
    <row r="4" customFormat="false" ht="15" hidden="false" customHeight="false" outlineLevel="0" collapsed="false">
      <c r="B4" s="8" t="s">
        <v>149</v>
      </c>
    </row>
    <row r="6" customFormat="false" ht="23.85" hidden="false" customHeight="false" outlineLevel="0" collapsed="false">
      <c r="B6" s="21" t="s">
        <v>128</v>
      </c>
      <c r="C6" s="21" t="s">
        <v>115</v>
      </c>
      <c r="D6" s="21" t="s">
        <v>150</v>
      </c>
      <c r="E6" s="21" t="s">
        <v>151</v>
      </c>
      <c r="F6" s="21" t="s">
        <v>152</v>
      </c>
      <c r="G6" s="21" t="s">
        <v>119</v>
      </c>
      <c r="H6" s="21" t="s">
        <v>118</v>
      </c>
    </row>
    <row r="7" customFormat="false" ht="15" hidden="false" customHeight="false" outlineLevel="0" collapsed="false">
      <c r="B7" s="31" t="n">
        <f aca="false">Datos_OWID!B6</f>
        <v>1</v>
      </c>
      <c r="C7" s="32" t="n">
        <f aca="false">Datos_OWID!C6</f>
        <v>43898</v>
      </c>
      <c r="D7" s="38" t="n">
        <f aca="false">Datos_OWID!D6</f>
        <v>22</v>
      </c>
      <c r="E7" s="38" t="n">
        <f aca="false">Modelo_SIRD!K8</f>
        <v>100</v>
      </c>
      <c r="F7" s="34" t="n">
        <f aca="false">IF(E7&lt;=0,"",MIN(1,D7/E7))</f>
        <v>0.22</v>
      </c>
      <c r="G7" s="40" t="n">
        <f aca="false">Datos_OWID!G6</f>
        <v>0.103333333333333</v>
      </c>
      <c r="H7" s="38" t="n">
        <f aca="false">Datos_OWID!F6</f>
        <v>45.5</v>
      </c>
    </row>
    <row r="8" customFormat="false" ht="15" hidden="false" customHeight="false" outlineLevel="0" collapsed="false">
      <c r="B8" s="31" t="n">
        <f aca="false">Datos_OWID!B7</f>
        <v>2</v>
      </c>
      <c r="C8" s="32" t="n">
        <f aca="false">Datos_OWID!C7</f>
        <v>43905</v>
      </c>
      <c r="D8" s="38" t="n">
        <f aca="false">Datos_OWID!D7</f>
        <v>109</v>
      </c>
      <c r="E8" s="38" t="n">
        <f aca="false">Modelo_SIRD!K9</f>
        <v>199.999560542405</v>
      </c>
      <c r="F8" s="34" t="n">
        <f aca="false">IF(E8&lt;=0,"",MIN(1,D8/E8))</f>
        <v>0.545001197524579</v>
      </c>
      <c r="G8" s="40" t="n">
        <f aca="false">Datos_OWID!G7</f>
        <v>0.21</v>
      </c>
      <c r="H8" s="38" t="n">
        <f aca="false">Datos_OWID!F7</f>
        <v>204</v>
      </c>
    </row>
    <row r="9" customFormat="false" ht="15" hidden="false" customHeight="false" outlineLevel="0" collapsed="false">
      <c r="B9" s="31" t="n">
        <f aca="false">Datos_OWID!B8</f>
        <v>3</v>
      </c>
      <c r="C9" s="32" t="n">
        <f aca="false">Datos_OWID!C8</f>
        <v>43912</v>
      </c>
      <c r="D9" s="38" t="n">
        <f aca="false">Datos_OWID!D8</f>
        <v>405</v>
      </c>
      <c r="E9" s="38" t="n">
        <f aca="false">Modelo_SIRD!K10</f>
        <v>381.750754103065</v>
      </c>
      <c r="F9" s="34" t="n">
        <f aca="false">IF(E9&lt;=0,"",MIN(1,D9/E9))</f>
        <v>1</v>
      </c>
      <c r="G9" s="40" t="n">
        <f aca="false">Datos_OWID!G8</f>
        <v>0.16</v>
      </c>
      <c r="H9" s="38" t="n">
        <f aca="false">Datos_OWID!F8</f>
        <v>867</v>
      </c>
    </row>
    <row r="10" customFormat="false" ht="15" hidden="false" customHeight="false" outlineLevel="0" collapsed="false">
      <c r="B10" s="31" t="n">
        <f aca="false">Datos_OWID!B9</f>
        <v>4</v>
      </c>
      <c r="C10" s="32" t="n">
        <f aca="false">Datos_OWID!C9</f>
        <v>43919</v>
      </c>
      <c r="D10" s="38" t="n">
        <f aca="false">Datos_OWID!D9</f>
        <v>746</v>
      </c>
      <c r="E10" s="38" t="n">
        <f aca="false">Modelo_SIRD!K11</f>
        <v>748.144675366581</v>
      </c>
      <c r="F10" s="34" t="n">
        <f aca="false">IF(E10&lt;=0,"",MIN(1,D10/E10))</f>
        <v>0.997133341401475</v>
      </c>
      <c r="G10" s="40" t="n">
        <f aca="false">Datos_OWID!G9</f>
        <v>0.237142857142857</v>
      </c>
      <c r="H10" s="38" t="n">
        <f aca="false">Datos_OWID!F9</f>
        <v>2551</v>
      </c>
    </row>
    <row r="11" customFormat="false" ht="15" hidden="false" customHeight="false" outlineLevel="0" collapsed="false">
      <c r="B11" s="31" t="n">
        <f aca="false">Datos_OWID!B10</f>
        <v>5</v>
      </c>
      <c r="C11" s="32" t="n">
        <f aca="false">Datos_OWID!C10</f>
        <v>43926</v>
      </c>
      <c r="D11" s="38" t="n">
        <f aca="false">Datos_OWID!D10</f>
        <v>791</v>
      </c>
      <c r="E11" s="38" t="n">
        <f aca="false">Modelo_SIRD!K12</f>
        <v>1466.17122974992</v>
      </c>
      <c r="F11" s="34" t="n">
        <f aca="false">IF(E11&lt;=0,"",MIN(1,D11/E11))</f>
        <v>0.539500423927238</v>
      </c>
      <c r="G11" s="40" t="n">
        <f aca="false">Datos_OWID!G10</f>
        <v>0.175714285714286</v>
      </c>
      <c r="H11" s="38" t="n">
        <f aca="false">Datos_OWID!F10</f>
        <v>5891</v>
      </c>
    </row>
    <row r="12" customFormat="false" ht="15" hidden="false" customHeight="false" outlineLevel="0" collapsed="false">
      <c r="B12" s="31" t="n">
        <f aca="false">Datos_OWID!B11</f>
        <v>6</v>
      </c>
      <c r="C12" s="32" t="n">
        <f aca="false">Datos_OWID!C11</f>
        <v>43933</v>
      </c>
      <c r="D12" s="38" t="n">
        <f aca="false">Datos_OWID!D11</f>
        <v>917</v>
      </c>
      <c r="E12" s="38" t="n">
        <f aca="false">Modelo_SIRD!K13</f>
        <v>2873.23334534466</v>
      </c>
      <c r="F12" s="34" t="n">
        <f aca="false">IF(E12&lt;=0,"",MIN(1,D12/E12))</f>
        <v>0.319152637388733</v>
      </c>
      <c r="G12" s="40" t="n">
        <f aca="false">Datos_OWID!G11</f>
        <v>0.102857142857143</v>
      </c>
      <c r="H12" s="38" t="n">
        <f aca="false">Datos_OWID!F11</f>
        <v>10760</v>
      </c>
    </row>
    <row r="13" customFormat="false" ht="15" hidden="false" customHeight="false" outlineLevel="0" collapsed="false">
      <c r="B13" s="31" t="n">
        <f aca="false">Datos_OWID!B12</f>
        <v>7</v>
      </c>
      <c r="C13" s="32" t="n">
        <f aca="false">Datos_OWID!C12</f>
        <v>43940</v>
      </c>
      <c r="D13" s="38" t="n">
        <f aca="false">Datos_OWID!D12</f>
        <v>1076</v>
      </c>
      <c r="E13" s="38" t="n">
        <f aca="false">Modelo_SIRD!K14</f>
        <v>5630.30372684449</v>
      </c>
      <c r="F13" s="34" t="n">
        <f aca="false">IF(E13&lt;=0,"",MIN(1,D13/E13))</f>
        <v>0.191108695410122</v>
      </c>
      <c r="G13" s="40" t="n">
        <f aca="false">Datos_OWID!G12</f>
        <v>0.0928571428571428</v>
      </c>
      <c r="H13" s="38" t="n">
        <f aca="false">Datos_OWID!F12</f>
        <v>13754</v>
      </c>
    </row>
    <row r="14" customFormat="false" ht="15" hidden="false" customHeight="false" outlineLevel="0" collapsed="false">
      <c r="B14" s="31" t="n">
        <f aca="false">Datos_OWID!B13</f>
        <v>8</v>
      </c>
      <c r="C14" s="32" t="n">
        <f aca="false">Datos_OWID!C13</f>
        <v>43947</v>
      </c>
      <c r="D14" s="38" t="n">
        <f aca="false">Datos_OWID!D13</f>
        <v>1398</v>
      </c>
      <c r="E14" s="38" t="n">
        <f aca="false">Modelo_SIRD!K15</f>
        <v>11031.719435066</v>
      </c>
      <c r="F14" s="34" t="n">
        <f aca="false">IF(E14&lt;=0,"",MIN(1,D14/E14))</f>
        <v>0.126725485381385</v>
      </c>
      <c r="G14" s="40" t="n">
        <f aca="false">Datos_OWID!G13</f>
        <v>0.0857142857142857</v>
      </c>
      <c r="H14" s="38" t="n">
        <f aca="false">Datos_OWID!F13</f>
        <v>16997</v>
      </c>
    </row>
    <row r="15" customFormat="false" ht="15" hidden="false" customHeight="false" outlineLevel="0" collapsed="false">
      <c r="B15" s="31" t="n">
        <f aca="false">Datos_OWID!B14</f>
        <v>9</v>
      </c>
      <c r="C15" s="32" t="n">
        <f aca="false">Datos_OWID!C14</f>
        <v>43954</v>
      </c>
      <c r="D15" s="38" t="n">
        <f aca="false">Datos_OWID!D14</f>
        <v>1289</v>
      </c>
      <c r="E15" s="38" t="n">
        <f aca="false">Modelo_SIRD!K16</f>
        <v>21610.1363882646</v>
      </c>
      <c r="F15" s="34" t="n">
        <f aca="false">IF(E15&lt;=0,"",MIN(1,D15/E15))</f>
        <v>0.059647934508178</v>
      </c>
      <c r="G15" s="40" t="n">
        <f aca="false">Datos_OWID!G14</f>
        <v>0.0857142857142857</v>
      </c>
      <c r="H15" s="38" t="n">
        <f aca="false">Datos_OWID!F14</f>
        <v>18485</v>
      </c>
    </row>
    <row r="16" customFormat="false" ht="15" hidden="false" customHeight="false" outlineLevel="0" collapsed="false">
      <c r="B16" s="31" t="n">
        <f aca="false">Datos_OWID!B15</f>
        <v>10</v>
      </c>
      <c r="C16" s="32" t="n">
        <f aca="false">Datos_OWID!C15</f>
        <v>43961</v>
      </c>
      <c r="D16" s="38" t="n">
        <f aca="false">Datos_OWID!D15</f>
        <v>1897</v>
      </c>
      <c r="E16" s="38" t="n">
        <f aca="false">Modelo_SIRD!K17</f>
        <v>42313.7545332238</v>
      </c>
      <c r="F16" s="34" t="n">
        <f aca="false">IF(E16&lt;=0,"",MIN(1,D16/E16))</f>
        <v>0.0448317579218955</v>
      </c>
      <c r="G16" s="40" t="n">
        <f aca="false">Datos_OWID!G15</f>
        <v>0.08</v>
      </c>
      <c r="H16" s="38" t="n">
        <f aca="false">Datos_OWID!F15</f>
        <v>22188</v>
      </c>
    </row>
    <row r="17" customFormat="false" ht="15" hidden="false" customHeight="false" outlineLevel="0" collapsed="false">
      <c r="B17" s="31" t="n">
        <f aca="false">Datos_OWID!B16</f>
        <v>11</v>
      </c>
      <c r="C17" s="32" t="n">
        <f aca="false">Datos_OWID!C16</f>
        <v>43968</v>
      </c>
      <c r="D17" s="38" t="n">
        <f aca="false">Datos_OWID!D16</f>
        <v>2910</v>
      </c>
      <c r="E17" s="38" t="n">
        <f aca="false">Modelo_SIRD!K18</f>
        <v>82781.41723416</v>
      </c>
      <c r="F17" s="34" t="n">
        <f aca="false">IF(E17&lt;=0,"",MIN(1,D17/E17))</f>
        <v>0.0351528168667204</v>
      </c>
      <c r="G17" s="40" t="n">
        <f aca="false">Datos_OWID!G16</f>
        <v>0.0999999999999999</v>
      </c>
      <c r="H17" s="38" t="n">
        <f aca="false">Datos_OWID!F16</f>
        <v>25877</v>
      </c>
    </row>
    <row r="18" customFormat="false" ht="15" hidden="false" customHeight="false" outlineLevel="0" collapsed="false">
      <c r="B18" s="31" t="n">
        <f aca="false">Datos_OWID!B17</f>
        <v>12</v>
      </c>
      <c r="C18" s="32" t="n">
        <f aca="false">Datos_OWID!C17</f>
        <v>43975</v>
      </c>
      <c r="D18" s="38" t="n">
        <f aca="false">Datos_OWID!D17</f>
        <v>5061</v>
      </c>
      <c r="E18" s="38" t="n">
        <f aca="false">Modelo_SIRD!K19</f>
        <v>161679.121010624</v>
      </c>
      <c r="F18" s="34" t="n">
        <f aca="false">IF(E18&lt;=0,"",MIN(1,D18/E18))</f>
        <v>0.0313027431641433</v>
      </c>
      <c r="G18" s="40" t="n">
        <f aca="false">Datos_OWID!G17</f>
        <v>0.122857142857143</v>
      </c>
      <c r="H18" s="38" t="n">
        <f aca="false">Datos_OWID!F17</f>
        <v>32115</v>
      </c>
    </row>
    <row r="19" customFormat="false" ht="15" hidden="false" customHeight="false" outlineLevel="0" collapsed="false">
      <c r="B19" s="31" t="n">
        <f aca="false">Datos_OWID!B18</f>
        <v>13</v>
      </c>
      <c r="C19" s="32" t="n">
        <f aca="false">Datos_OWID!C18</f>
        <v>43982</v>
      </c>
      <c r="D19" s="38" t="n">
        <f aca="false">Datos_OWID!D18</f>
        <v>5785</v>
      </c>
      <c r="E19" s="38" t="n">
        <f aca="false">Modelo_SIRD!K20</f>
        <v>314735.105465591</v>
      </c>
      <c r="F19" s="34" t="n">
        <f aca="false">IF(E19&lt;=0,"",MIN(1,D19/E19))</f>
        <v>0.0183805362018393</v>
      </c>
      <c r="G19" s="40" t="n">
        <f aca="false">Datos_OWID!G18</f>
        <v>0.154285714285714</v>
      </c>
      <c r="H19" s="38" t="n">
        <f aca="false">Datos_OWID!F18</f>
        <v>36128</v>
      </c>
    </row>
    <row r="20" customFormat="false" ht="15" hidden="false" customHeight="false" outlineLevel="0" collapsed="false">
      <c r="B20" s="31" t="n">
        <f aca="false">Datos_OWID!B19</f>
        <v>14</v>
      </c>
      <c r="C20" s="32" t="n">
        <f aca="false">Datos_OWID!C19</f>
        <v>43989</v>
      </c>
      <c r="D20" s="38" t="n">
        <f aca="false">Datos_OWID!D19</f>
        <v>7297</v>
      </c>
      <c r="E20" s="38" t="n">
        <f aca="false">Modelo_SIRD!K21</f>
        <v>280058.760322653</v>
      </c>
      <c r="F20" s="34" t="n">
        <f aca="false">IF(E20&lt;=0,"",MIN(1,D20/E20))</f>
        <v>0.0260552463761291</v>
      </c>
      <c r="G20" s="40" t="n">
        <f aca="false">Datos_OWID!G19</f>
        <v>0.17</v>
      </c>
      <c r="H20" s="38" t="n">
        <f aca="false">Datos_OWID!F19</f>
        <v>40385</v>
      </c>
    </row>
    <row r="21" customFormat="false" ht="15" hidden="false" customHeight="false" outlineLevel="0" collapsed="false">
      <c r="B21" s="31" t="n">
        <f aca="false">Datos_OWID!B20</f>
        <v>15</v>
      </c>
      <c r="C21" s="32" t="n">
        <f aca="false">Datos_OWID!C20</f>
        <v>43996</v>
      </c>
      <c r="D21" s="38" t="n">
        <f aca="false">Datos_OWID!D20</f>
        <v>10685</v>
      </c>
      <c r="E21" s="38" t="n">
        <f aca="false">Modelo_SIRD!K22</f>
        <v>292996.598704197</v>
      </c>
      <c r="F21" s="34" t="n">
        <f aca="false">IF(E21&lt;=0,"",MIN(1,D21/E21))</f>
        <v>0.0364680001312485</v>
      </c>
      <c r="G21" s="40" t="n">
        <f aca="false">Datos_OWID!G20</f>
        <v>0.202857142857143</v>
      </c>
      <c r="H21" s="38" t="n">
        <f aca="false">Datos_OWID!F20</f>
        <v>47345</v>
      </c>
    </row>
    <row r="22" customFormat="false" ht="15" hidden="false" customHeight="false" outlineLevel="0" collapsed="false">
      <c r="B22" s="31" t="n">
        <f aca="false">Datos_OWID!B21</f>
        <v>16</v>
      </c>
      <c r="C22" s="32" t="n">
        <f aca="false">Datos_OWID!C21</f>
        <v>44003</v>
      </c>
      <c r="D22" s="38" t="n">
        <f aca="false">Datos_OWID!D21</f>
        <v>14050</v>
      </c>
      <c r="E22" s="38" t="n">
        <f aca="false">Modelo_SIRD!K23</f>
        <v>305062.777634926</v>
      </c>
      <c r="F22" s="34" t="n">
        <f aca="false">IF(E22&lt;=0,"",MIN(1,D22/E22))</f>
        <v>0.0460560941224166</v>
      </c>
      <c r="G22" s="40" t="n">
        <f aca="false">Datos_OWID!G21</f>
        <v>0.234285714285714</v>
      </c>
      <c r="H22" s="38" t="n">
        <f aca="false">Datos_OWID!F21</f>
        <v>56427</v>
      </c>
    </row>
    <row r="23" customFormat="false" ht="15" hidden="false" customHeight="false" outlineLevel="0" collapsed="false">
      <c r="B23" s="31" t="n">
        <f aca="false">Datos_OWID!B22</f>
        <v>17</v>
      </c>
      <c r="C23" s="32" t="n">
        <f aca="false">Datos_OWID!C22</f>
        <v>44010</v>
      </c>
      <c r="D23" s="38" t="n">
        <f aca="false">Datos_OWID!D22</f>
        <v>19007</v>
      </c>
      <c r="E23" s="38" t="n">
        <f aca="false">Modelo_SIRD!K24</f>
        <v>316035.482219331</v>
      </c>
      <c r="F23" s="34" t="n">
        <f aca="false">IF(E23&lt;=0,"",MIN(1,D23/E23))</f>
        <v>0.0601419811045426</v>
      </c>
      <c r="G23" s="40" t="n">
        <f aca="false">Datos_OWID!G22</f>
        <v>0.261428571428571</v>
      </c>
      <c r="H23" s="38" t="n">
        <f aca="false">Datos_OWID!F22</f>
        <v>70558</v>
      </c>
    </row>
    <row r="24" customFormat="false" ht="15" hidden="false" customHeight="false" outlineLevel="0" collapsed="false">
      <c r="B24" s="31" t="n">
        <f aca="false">Datos_OWID!B23</f>
        <v>18</v>
      </c>
      <c r="C24" s="32" t="n">
        <f aca="false">Datos_OWID!C23</f>
        <v>44017</v>
      </c>
      <c r="D24" s="38" t="n">
        <f aca="false">Datos_OWID!D23</f>
        <v>20195</v>
      </c>
      <c r="E24" s="38" t="n">
        <f aca="false">Modelo_SIRD!K25</f>
        <v>325698.859354213</v>
      </c>
      <c r="F24" s="34" t="n">
        <f aca="false">IF(E24&lt;=0,"",MIN(1,D24/E24))</f>
        <v>0.0620051296465763</v>
      </c>
      <c r="G24" s="40" t="n">
        <f aca="false">Datos_OWID!G23</f>
        <v>0.281428571428572</v>
      </c>
      <c r="H24" s="38" t="n">
        <f aca="false">Datos_OWID!F23</f>
        <v>73916</v>
      </c>
    </row>
    <row r="25" customFormat="false" ht="15" hidden="false" customHeight="false" outlineLevel="0" collapsed="false">
      <c r="B25" s="31" t="n">
        <f aca="false">Datos_OWID!B24</f>
        <v>19</v>
      </c>
      <c r="C25" s="32" t="n">
        <f aca="false">Datos_OWID!C24</f>
        <v>44024</v>
      </c>
      <c r="D25" s="38" t="n">
        <f aca="false">Datos_OWID!D24</f>
        <v>24971</v>
      </c>
      <c r="E25" s="38" t="n">
        <f aca="false">Modelo_SIRD!K26</f>
        <v>333851.140122503</v>
      </c>
      <c r="F25" s="34" t="n">
        <f aca="false">IF(E25&lt;=0,"",MIN(1,D25/E25))</f>
        <v>0.0747968091132987</v>
      </c>
      <c r="G25" s="40" t="n">
        <f aca="false">Datos_OWID!G24</f>
        <v>0.304285714285714</v>
      </c>
      <c r="H25" s="38" t="n">
        <f aca="false">Datos_OWID!F24</f>
        <v>80888</v>
      </c>
    </row>
    <row r="26" customFormat="false" ht="15" hidden="false" customHeight="false" outlineLevel="0" collapsed="false">
      <c r="B26" s="31" t="n">
        <f aca="false">Datos_OWID!B25</f>
        <v>20</v>
      </c>
      <c r="C26" s="32" t="n">
        <f aca="false">Datos_OWID!C25</f>
        <v>44031</v>
      </c>
      <c r="D26" s="38" t="n">
        <f aca="false">Datos_OWID!D25</f>
        <v>31572</v>
      </c>
      <c r="E26" s="38" t="n">
        <f aca="false">Modelo_SIRD!K27</f>
        <v>340312.936895236</v>
      </c>
      <c r="F26" s="34" t="n">
        <f aca="false">IF(E26&lt;=0,"",MIN(1,D26/E26))</f>
        <v>0.0927734346159144</v>
      </c>
      <c r="G26" s="40" t="n">
        <f aca="false">Datos_OWID!G25</f>
        <v>0.312857142857143</v>
      </c>
      <c r="H26" s="38" t="n">
        <f aca="false">Datos_OWID!F25</f>
        <v>90712</v>
      </c>
    </row>
    <row r="27" customFormat="false" ht="15" hidden="false" customHeight="false" outlineLevel="0" collapsed="false">
      <c r="B27" s="31" t="n">
        <f aca="false">Datos_OWID!B26</f>
        <v>21</v>
      </c>
      <c r="C27" s="32" t="n">
        <f aca="false">Datos_OWID!C26</f>
        <v>44038</v>
      </c>
      <c r="D27" s="38" t="n">
        <f aca="false">Datos_OWID!D26</f>
        <v>39247</v>
      </c>
      <c r="E27" s="38" t="n">
        <f aca="false">Modelo_SIRD!K28</f>
        <v>344935.182622537</v>
      </c>
      <c r="F27" s="34" t="n">
        <f aca="false">IF(E27&lt;=0,"",MIN(1,D27/E27))</f>
        <v>0.113780797022808</v>
      </c>
      <c r="G27" s="40" t="n">
        <f aca="false">Datos_OWID!G26</f>
        <v>0.34</v>
      </c>
      <c r="H27" s="38" t="n">
        <f aca="false">Datos_OWID!F26</f>
        <v>108723</v>
      </c>
    </row>
    <row r="28" customFormat="false" ht="15" hidden="false" customHeight="false" outlineLevel="0" collapsed="false">
      <c r="B28" s="31" t="n">
        <f aca="false">Datos_OWID!B27</f>
        <v>22</v>
      </c>
      <c r="C28" s="32" t="n">
        <f aca="false">Datos_OWID!C27</f>
        <v>44045</v>
      </c>
      <c r="D28" s="38" t="n">
        <f aca="false">Datos_OWID!D27</f>
        <v>41965</v>
      </c>
      <c r="E28" s="38" t="n">
        <f aca="false">Modelo_SIRD!K29</f>
        <v>347606.146226294</v>
      </c>
      <c r="F28" s="34" t="n">
        <f aca="false">IF(E28&lt;=0,"",MIN(1,D28/E28))</f>
        <v>0.120725713442019</v>
      </c>
      <c r="G28" s="40" t="n">
        <f aca="false">Datos_OWID!G27</f>
        <v>0.345714285714286</v>
      </c>
      <c r="H28" s="38" t="n">
        <f aca="false">Datos_OWID!F27</f>
        <v>120997</v>
      </c>
    </row>
    <row r="29" customFormat="false" ht="15" hidden="false" customHeight="false" outlineLevel="0" collapsed="false">
      <c r="B29" s="31" t="n">
        <f aca="false">Datos_OWID!B28</f>
        <v>23</v>
      </c>
      <c r="C29" s="32" t="n">
        <f aca="false">Datos_OWID!C28</f>
        <v>44052</v>
      </c>
      <c r="D29" s="38" t="n">
        <f aca="false">Datos_OWID!D28</f>
        <v>51641</v>
      </c>
      <c r="E29" s="38" t="n">
        <f aca="false">Modelo_SIRD!K30</f>
        <v>348256.981504686</v>
      </c>
      <c r="F29" s="34" t="n">
        <f aca="false">IF(E29&lt;=0,"",MIN(1,D29/E29))</f>
        <v>0.148284177324684</v>
      </c>
      <c r="G29" s="40" t="n">
        <f aca="false">Datos_OWID!G28</f>
        <v>0.357142857142857</v>
      </c>
      <c r="H29" s="38" t="n">
        <f aca="false">Datos_OWID!F28</f>
        <v>136295</v>
      </c>
    </row>
    <row r="30" customFormat="false" ht="15" hidden="false" customHeight="false" outlineLevel="0" collapsed="false">
      <c r="B30" s="31" t="n">
        <f aca="false">Datos_OWID!B29</f>
        <v>24</v>
      </c>
      <c r="C30" s="32" t="n">
        <f aca="false">Datos_OWID!C29</f>
        <v>44059</v>
      </c>
      <c r="D30" s="38" t="n">
        <f aca="false">Datos_OWID!D29</f>
        <v>48677</v>
      </c>
      <c r="E30" s="38" t="n">
        <f aca="false">Modelo_SIRD!K31</f>
        <v>346865.351536825</v>
      </c>
      <c r="F30" s="34" t="n">
        <f aca="false">IF(E30&lt;=0,"",MIN(1,D30/E30))</f>
        <v>0.140333993534757</v>
      </c>
      <c r="G30" s="40" t="n">
        <f aca="false">Datos_OWID!G29</f>
        <v>0.334285714285714</v>
      </c>
      <c r="H30" s="38" t="n">
        <f aca="false">Datos_OWID!F29</f>
        <v>151601</v>
      </c>
    </row>
    <row r="31" customFormat="false" ht="15" hidden="false" customHeight="false" outlineLevel="0" collapsed="false">
      <c r="B31" s="31" t="n">
        <f aca="false">Datos_OWID!B30</f>
        <v>25</v>
      </c>
      <c r="C31" s="32" t="n">
        <f aca="false">Datos_OWID!C30</f>
        <v>44066</v>
      </c>
      <c r="D31" s="38" t="n">
        <f aca="false">Datos_OWID!D30</f>
        <v>51183</v>
      </c>
      <c r="E31" s="38" t="n">
        <f aca="false">Modelo_SIRD!K32</f>
        <v>343456.81103842</v>
      </c>
      <c r="F31" s="34" t="n">
        <f aca="false">IF(E31&lt;=0,"",MIN(1,D31/E31))</f>
        <v>0.149023103793608</v>
      </c>
      <c r="G31" s="40" t="n">
        <f aca="false">Datos_OWID!G30</f>
        <v>0.335714285714286</v>
      </c>
      <c r="H31" s="38" t="n">
        <f aca="false">Datos_OWID!F30</f>
        <v>145018</v>
      </c>
    </row>
    <row r="32" customFormat="false" ht="15" hidden="false" customHeight="false" outlineLevel="0" collapsed="false">
      <c r="B32" s="31" t="n">
        <f aca="false">Datos_OWID!B31</f>
        <v>26</v>
      </c>
      <c r="C32" s="32" t="n">
        <f aca="false">Datos_OWID!C31</f>
        <v>44073</v>
      </c>
      <c r="D32" s="38" t="n">
        <f aca="false">Datos_OWID!D31</f>
        <v>68979</v>
      </c>
      <c r="E32" s="38" t="n">
        <f aca="false">Modelo_SIRD!K33</f>
        <v>338103.81093993</v>
      </c>
      <c r="F32" s="34" t="n">
        <f aca="false">IF(E32&lt;=0,"",MIN(1,D32/E32))</f>
        <v>0.204017221244085</v>
      </c>
      <c r="G32" s="40" t="n">
        <f aca="false">Datos_OWID!G31</f>
        <v>0.38</v>
      </c>
      <c r="H32" s="38" t="n">
        <f aca="false">Datos_OWID!F31</f>
        <v>161262</v>
      </c>
    </row>
    <row r="33" customFormat="false" ht="15" hidden="false" customHeight="false" outlineLevel="0" collapsed="false">
      <c r="B33" s="31" t="n">
        <f aca="false">Datos_OWID!B32</f>
        <v>27</v>
      </c>
      <c r="C33" s="32" t="n">
        <f aca="false">Datos_OWID!C32</f>
        <v>44080</v>
      </c>
      <c r="D33" s="38" t="n">
        <f aca="false">Datos_OWID!D32</f>
        <v>72320</v>
      </c>
      <c r="E33" s="38" t="n">
        <f aca="false">Modelo_SIRD!K34</f>
        <v>330922.390675828</v>
      </c>
      <c r="F33" s="34" t="n">
        <f aca="false">IF(E33&lt;=0,"",MIN(1,D33/E33))</f>
        <v>0.21854066704977</v>
      </c>
      <c r="G33" s="40" t="n">
        <f aca="false">Datos_OWID!G32</f>
        <v>0.4</v>
      </c>
      <c r="H33" s="38" t="n">
        <f aca="false">Datos_OWID!F32</f>
        <v>177607</v>
      </c>
    </row>
    <row r="34" customFormat="false" ht="15" hidden="false" customHeight="false" outlineLevel="0" collapsed="false">
      <c r="B34" s="31" t="n">
        <f aca="false">Datos_OWID!B33</f>
        <v>28</v>
      </c>
      <c r="C34" s="32" t="n">
        <f aca="false">Datos_OWID!C33</f>
        <v>44087</v>
      </c>
      <c r="D34" s="38" t="n">
        <f aca="false">Datos_OWID!D33</f>
        <v>78158</v>
      </c>
      <c r="E34" s="38" t="n">
        <f aca="false">Modelo_SIRD!K35</f>
        <v>322066.818535529</v>
      </c>
      <c r="F34" s="34" t="n">
        <f aca="false">IF(E34&lt;=0,"",MIN(1,D34/E34))</f>
        <v>0.242676350067332</v>
      </c>
      <c r="G34" s="40" t="n">
        <f aca="false">Datos_OWID!G33</f>
        <v>0.402857142857143</v>
      </c>
      <c r="H34" s="38" t="n">
        <f aca="false">Datos_OWID!F33</f>
        <v>184718</v>
      </c>
    </row>
    <row r="35" customFormat="false" ht="15" hidden="false" customHeight="false" outlineLevel="0" collapsed="false">
      <c r="B35" s="31" t="n">
        <f aca="false">Datos_OWID!B34</f>
        <v>29</v>
      </c>
      <c r="C35" s="32" t="n">
        <f aca="false">Datos_OWID!C34</f>
        <v>44094</v>
      </c>
      <c r="D35" s="38" t="n">
        <f aca="false">Datos_OWID!D34</f>
        <v>75330</v>
      </c>
      <c r="E35" s="38" t="n">
        <f aca="false">Modelo_SIRD!K36</f>
        <v>311722.604001135</v>
      </c>
      <c r="F35" s="34" t="n">
        <f aca="false">IF(E35&lt;=0,"",MIN(1,D35/E35))</f>
        <v>0.241657162596158</v>
      </c>
      <c r="G35" s="40" t="n">
        <f aca="false">Datos_OWID!G34</f>
        <v>0.398571428571429</v>
      </c>
      <c r="H35" s="38" t="n">
        <f aca="false">Datos_OWID!F34</f>
        <v>191766</v>
      </c>
    </row>
    <row r="36" customFormat="false" ht="15" hidden="false" customHeight="false" outlineLevel="0" collapsed="false">
      <c r="B36" s="31" t="n">
        <f aca="false">Datos_OWID!B35</f>
        <v>30</v>
      </c>
      <c r="C36" s="32" t="n">
        <f aca="false">Datos_OWID!C35</f>
        <v>44101</v>
      </c>
      <c r="D36" s="38" t="n">
        <f aca="false">Datos_OWID!D35</f>
        <v>81712</v>
      </c>
      <c r="E36" s="38" t="n">
        <f aca="false">Modelo_SIRD!K37</f>
        <v>300098.418658718</v>
      </c>
      <c r="F36" s="34" t="n">
        <f aca="false">IF(E36&lt;=0,"",MIN(1,D36/E36))</f>
        <v>0.272284007244055</v>
      </c>
      <c r="G36" s="40" t="n">
        <f aca="false">Datos_OWID!G35</f>
        <v>0.395714285714286</v>
      </c>
      <c r="H36" s="38" t="n">
        <f aca="false">Datos_OWID!F35</f>
        <v>188188</v>
      </c>
    </row>
    <row r="37" customFormat="false" ht="15" hidden="false" customHeight="false" outlineLevel="0" collapsed="false">
      <c r="B37" s="31" t="n">
        <f aca="false">Datos_OWID!B36</f>
        <v>31</v>
      </c>
      <c r="C37" s="32" t="n">
        <f aca="false">Datos_OWID!C36</f>
        <v>44108</v>
      </c>
      <c r="D37" s="38" t="n">
        <f aca="false">Datos_OWID!D36</f>
        <v>87054</v>
      </c>
      <c r="E37" s="38" t="n">
        <f aca="false">Modelo_SIRD!K38</f>
        <v>287417.512980901</v>
      </c>
      <c r="F37" s="34" t="n">
        <f aca="false">IF(E37&lt;=0,"",MIN(1,D37/E37))</f>
        <v>0.302883422437048</v>
      </c>
      <c r="G37" s="40" t="n">
        <f aca="false">Datos_OWID!G36</f>
        <v>0.41</v>
      </c>
      <c r="H37" s="38" t="n">
        <f aca="false">Datos_OWID!F36</f>
        <v>200296</v>
      </c>
    </row>
    <row r="38" customFormat="false" ht="15" hidden="false" customHeight="false" outlineLevel="0" collapsed="false">
      <c r="B38" s="31" t="n">
        <f aca="false">Datos_OWID!B37</f>
        <v>32</v>
      </c>
      <c r="C38" s="32" t="n">
        <f aca="false">Datos_OWID!C37</f>
        <v>44115</v>
      </c>
      <c r="D38" s="38" t="n">
        <f aca="false">Datos_OWID!D37</f>
        <v>96217</v>
      </c>
      <c r="E38" s="38" t="n">
        <f aca="false">Modelo_SIRD!K39</f>
        <v>273909.203947812</v>
      </c>
      <c r="F38" s="34" t="n">
        <f aca="false">IF(E38&lt;=0,"",MIN(1,D38/E38))</f>
        <v>0.351273336613881</v>
      </c>
      <c r="G38" s="40" t="n">
        <f aca="false">Datos_OWID!G37</f>
        <v>0.391428571428571</v>
      </c>
      <c r="H38" s="38" t="n">
        <f aca="false">Datos_OWID!F37</f>
        <v>216097</v>
      </c>
    </row>
    <row r="39" customFormat="false" ht="15" hidden="false" customHeight="false" outlineLevel="0" collapsed="false">
      <c r="B39" s="31" t="n">
        <f aca="false">Datos_OWID!B38</f>
        <v>33</v>
      </c>
      <c r="C39" s="32" t="n">
        <f aca="false">Datos_OWID!C38</f>
        <v>44122</v>
      </c>
      <c r="D39" s="38" t="n">
        <f aca="false">Datos_OWID!D38</f>
        <v>95982</v>
      </c>
      <c r="E39" s="38" t="n">
        <f aca="false">Modelo_SIRD!K40</f>
        <v>259800.941214301</v>
      </c>
      <c r="F39" s="34" t="n">
        <f aca="false">IF(E39&lt;=0,"",MIN(1,D39/E39))</f>
        <v>0.369444389044102</v>
      </c>
      <c r="G39" s="40" t="n">
        <f aca="false">Datos_OWID!G38</f>
        <v>0.395714285714286</v>
      </c>
      <c r="H39" s="38" t="n">
        <f aca="false">Datos_OWID!F38</f>
        <v>217450</v>
      </c>
    </row>
    <row r="40" customFormat="false" ht="15" hidden="false" customHeight="false" outlineLevel="0" collapsed="false">
      <c r="B40" s="31" t="n">
        <f aca="false">Datos_OWID!B39</f>
        <v>34</v>
      </c>
      <c r="C40" s="32" t="n">
        <f aca="false">Datos_OWID!C39</f>
        <v>44129</v>
      </c>
      <c r="D40" s="38" t="n">
        <f aca="false">Datos_OWID!D39</f>
        <v>97588</v>
      </c>
      <c r="E40" s="38" t="n">
        <f aca="false">Modelo_SIRD!K41</f>
        <v>245311.352197826</v>
      </c>
      <c r="F40" s="34" t="n">
        <f aca="false">IF(E40&lt;=0,"",MIN(1,D40/E40))</f>
        <v>0.397812816755836</v>
      </c>
      <c r="G40" s="40" t="n">
        <f aca="false">Datos_OWID!G39</f>
        <v>0.362857142857143</v>
      </c>
      <c r="H40" s="38" t="n">
        <f aca="false">Datos_OWID!F39</f>
        <v>248189</v>
      </c>
    </row>
    <row r="41" customFormat="false" ht="15" hidden="false" customHeight="false" outlineLevel="0" collapsed="false">
      <c r="B41" s="31" t="n">
        <f aca="false">Datos_OWID!B40</f>
        <v>35</v>
      </c>
      <c r="C41" s="32" t="n">
        <f aca="false">Datos_OWID!C40</f>
        <v>44136</v>
      </c>
      <c r="D41" s="38" t="n">
        <f aca="false">Datos_OWID!D40</f>
        <v>81504</v>
      </c>
      <c r="E41" s="38" t="n">
        <f aca="false">Modelo_SIRD!K42</f>
        <v>230644.53725037</v>
      </c>
      <c r="F41" s="34" t="n">
        <f aca="false">IF(E41&lt;=0,"",MIN(1,D41/E41))</f>
        <v>0.353374942115042</v>
      </c>
      <c r="G41" s="40" t="n">
        <f aca="false">Datos_OWID!G40</f>
        <v>0.33</v>
      </c>
      <c r="H41" s="38" t="n">
        <f aca="false">Datos_OWID!F40</f>
        <v>227146</v>
      </c>
    </row>
    <row r="42" customFormat="false" ht="15" hidden="false" customHeight="false" outlineLevel="0" collapsed="false">
      <c r="B42" s="31" t="n">
        <f aca="false">Datos_OWID!B41</f>
        <v>36</v>
      </c>
      <c r="C42" s="32" t="n">
        <f aca="false">Datos_OWID!C41</f>
        <v>44143</v>
      </c>
      <c r="D42" s="38" t="n">
        <f aca="false">Datos_OWID!D41</f>
        <v>70725</v>
      </c>
      <c r="E42" s="38" t="n">
        <f aca="false">Modelo_SIRD!K43</f>
        <v>207613.335186549</v>
      </c>
      <c r="F42" s="34" t="n">
        <f aca="false">IF(E42&lt;=0,"",MIN(1,D42/E42))</f>
        <v>0.340657308628325</v>
      </c>
      <c r="G42" s="40" t="n">
        <f aca="false">Datos_OWID!G41</f>
        <v>0.292857142857143</v>
      </c>
      <c r="H42" s="38" t="n">
        <f aca="false">Datos_OWID!F41</f>
        <v>207932</v>
      </c>
    </row>
    <row r="43" customFormat="false" ht="15" hidden="false" customHeight="false" outlineLevel="0" collapsed="false">
      <c r="B43" s="31" t="n">
        <f aca="false">Datos_OWID!B42</f>
        <v>37</v>
      </c>
      <c r="C43" s="32" t="n">
        <f aca="false">Datos_OWID!C42</f>
        <v>44150</v>
      </c>
      <c r="D43" s="38" t="n">
        <f aca="false">Datos_OWID!D42</f>
        <v>67129</v>
      </c>
      <c r="E43" s="38" t="n">
        <f aca="false">Modelo_SIRD!K44</f>
        <v>188621.99881766</v>
      </c>
      <c r="F43" s="34" t="n">
        <f aca="false">IF(E43&lt;=0,"",MIN(1,D43/E43))</f>
        <v>0.355891679765801</v>
      </c>
      <c r="G43" s="40" t="n">
        <f aca="false">Datos_OWID!G42</f>
        <v>0.28</v>
      </c>
      <c r="H43" s="38" t="n">
        <f aca="false">Datos_OWID!F42</f>
        <v>201432</v>
      </c>
    </row>
    <row r="44" customFormat="false" ht="15" hidden="false" customHeight="false" outlineLevel="0" collapsed="false">
      <c r="B44" s="31" t="n">
        <f aca="false">Datos_OWID!B43</f>
        <v>38</v>
      </c>
      <c r="C44" s="32" t="n">
        <f aca="false">Datos_OWID!C43</f>
        <v>44157</v>
      </c>
      <c r="D44" s="38" t="n">
        <f aca="false">Datos_OWID!D43</f>
        <v>57887</v>
      </c>
      <c r="E44" s="38" t="n">
        <f aca="false">Modelo_SIRD!K45</f>
        <v>170820.783945046</v>
      </c>
      <c r="F44" s="34" t="n">
        <f aca="false">IF(E44&lt;=0,"",MIN(1,D44/E44))</f>
        <v>0.338875625454467</v>
      </c>
      <c r="G44" s="40" t="n">
        <f aca="false">Datos_OWID!G43</f>
        <v>0.254285714285714</v>
      </c>
      <c r="H44" s="38" t="n">
        <f aca="false">Datos_OWID!F43</f>
        <v>198898</v>
      </c>
    </row>
    <row r="45" customFormat="false" ht="15" hidden="false" customHeight="false" outlineLevel="0" collapsed="false">
      <c r="B45" s="31" t="n">
        <f aca="false">Datos_OWID!B44</f>
        <v>39</v>
      </c>
      <c r="C45" s="32" t="n">
        <f aca="false">Datos_OWID!C44</f>
        <v>44164</v>
      </c>
      <c r="D45" s="38" t="n">
        <f aca="false">Datos_OWID!D44</f>
        <v>48034</v>
      </c>
      <c r="E45" s="38" t="n">
        <f aca="false">Modelo_SIRD!K46</f>
        <v>154251.89669168</v>
      </c>
      <c r="F45" s="34" t="n">
        <f aca="false">IF(E45&lt;=0,"",MIN(1,D45/E45))</f>
        <v>0.31139973660104</v>
      </c>
      <c r="G45" s="40" t="n">
        <f aca="false">Datos_OWID!G44</f>
        <v>0.221428571428571</v>
      </c>
      <c r="H45" s="38" t="n">
        <f aca="false">Datos_OWID!F44</f>
        <v>178898</v>
      </c>
    </row>
    <row r="46" customFormat="false" ht="15" hidden="false" customHeight="false" outlineLevel="0" collapsed="false">
      <c r="B46" s="31" t="n">
        <f aca="false">Datos_OWID!B45</f>
        <v>40</v>
      </c>
      <c r="C46" s="32" t="n">
        <f aca="false">Datos_OWID!C45</f>
        <v>44171</v>
      </c>
      <c r="D46" s="38" t="n">
        <f aca="false">Datos_OWID!D45</f>
        <v>42762</v>
      </c>
      <c r="E46" s="38" t="n">
        <f aca="false">Modelo_SIRD!K47</f>
        <v>138925.875855997</v>
      </c>
      <c r="F46" s="34" t="n">
        <f aca="false">IF(E46&lt;=0,"",MIN(1,D46/E46))</f>
        <v>0.307804429783295</v>
      </c>
      <c r="G46" s="40" t="n">
        <f aca="false">Datos_OWID!G45</f>
        <v>0.198571428571429</v>
      </c>
      <c r="H46" s="38" t="n">
        <f aca="false">Datos_OWID!F45</f>
        <v>185014</v>
      </c>
    </row>
    <row r="47" customFormat="false" ht="15" hidden="false" customHeight="false" outlineLevel="0" collapsed="false">
      <c r="B47" s="31" t="n">
        <f aca="false">Datos_OWID!B46</f>
        <v>41</v>
      </c>
      <c r="C47" s="32" t="n">
        <f aca="false">Datos_OWID!C46</f>
        <v>44178</v>
      </c>
      <c r="D47" s="38" t="n">
        <f aca="false">Datos_OWID!D46</f>
        <v>35314</v>
      </c>
      <c r="E47" s="38" t="n">
        <f aca="false">Modelo_SIRD!K48</f>
        <v>124827.730346486</v>
      </c>
      <c r="F47" s="34" t="n">
        <f aca="false">IF(E47&lt;=0,"",MIN(1,D47/E47))</f>
        <v>0.282901883275282</v>
      </c>
      <c r="G47" s="40" t="n">
        <f aca="false">Datos_OWID!G46</f>
        <v>0.181428571428571</v>
      </c>
      <c r="H47" s="38" t="n">
        <f aca="false">Datos_OWID!F46</f>
        <v>156555</v>
      </c>
    </row>
    <row r="48" customFormat="false" ht="15" hidden="false" customHeight="false" outlineLevel="0" collapsed="false">
      <c r="B48" s="31" t="n">
        <f aca="false">Datos_OWID!B47</f>
        <v>42</v>
      </c>
      <c r="C48" s="32" t="n">
        <f aca="false">Datos_OWID!C47</f>
        <v>44185</v>
      </c>
      <c r="D48" s="38" t="n">
        <f aca="false">Datos_OWID!D47</f>
        <v>45454</v>
      </c>
      <c r="E48" s="38" t="n">
        <f aca="false">Modelo_SIRD!K49</f>
        <v>111922.629382685</v>
      </c>
      <c r="F48" s="34" t="n">
        <f aca="false">IF(E48&lt;=0,"",MIN(1,D48/E48))</f>
        <v>0.406119836986532</v>
      </c>
      <c r="G48" s="40" t="n">
        <f aca="false">Datos_OWID!G47</f>
        <v>0.18</v>
      </c>
      <c r="H48" s="38" t="n">
        <f aca="false">Datos_OWID!F47</f>
        <v>200461</v>
      </c>
    </row>
    <row r="49" customFormat="false" ht="15" hidden="false" customHeight="false" outlineLevel="0" collapsed="false">
      <c r="B49" s="31" t="n">
        <f aca="false">Datos_OWID!B48</f>
        <v>43</v>
      </c>
      <c r="C49" s="32" t="n">
        <f aca="false">Datos_OWID!C48</f>
        <v>44192</v>
      </c>
      <c r="D49" s="38" t="n">
        <f aca="false">Datos_OWID!D48</f>
        <v>44863</v>
      </c>
      <c r="E49" s="38" t="n">
        <f aca="false">Modelo_SIRD!K50</f>
        <v>100160.981452338</v>
      </c>
      <c r="F49" s="34" t="n">
        <f aca="false">IF(E49&lt;=0,"",MIN(1,D49/E49))</f>
        <v>0.447908949667671</v>
      </c>
      <c r="G49" s="40" t="n">
        <f aca="false">Datos_OWID!G48</f>
        <v>0.182857142857143</v>
      </c>
      <c r="H49" s="38" t="n">
        <f aca="false">Datos_OWID!F48</f>
        <v>220459</v>
      </c>
    </row>
    <row r="50" customFormat="false" ht="15" hidden="false" customHeight="false" outlineLevel="0" collapsed="false">
      <c r="B50" s="31" t="n">
        <f aca="false">Datos_OWID!B49</f>
        <v>44</v>
      </c>
      <c r="C50" s="32" t="n">
        <f aca="false">Datos_OWID!C49</f>
        <v>44199</v>
      </c>
      <c r="D50" s="38" t="n">
        <f aca="false">Datos_OWID!D49</f>
        <v>60464</v>
      </c>
      <c r="E50" s="38" t="n">
        <f aca="false">Modelo_SIRD!K51</f>
        <v>129969.534036994</v>
      </c>
      <c r="F50" s="34" t="n">
        <f aca="false">IF(E50&lt;=0,"",MIN(1,D50/E50))</f>
        <v>0.465216717502348</v>
      </c>
      <c r="G50" s="40" t="n">
        <f aca="false">Datos_OWID!G49</f>
        <v>0.214285714285714</v>
      </c>
      <c r="H50" s="38" t="n">
        <f aca="false">Datos_OWID!F49</f>
        <v>234474</v>
      </c>
    </row>
    <row r="51" customFormat="false" ht="15" hidden="false" customHeight="false" outlineLevel="0" collapsed="false">
      <c r="B51" s="31" t="n">
        <f aca="false">Datos_OWID!B50</f>
        <v>45</v>
      </c>
      <c r="C51" s="32" t="n">
        <f aca="false">Datos_OWID!C50</f>
        <v>44206</v>
      </c>
      <c r="D51" s="38" t="n">
        <f aca="false">Datos_OWID!D50</f>
        <v>84733</v>
      </c>
      <c r="E51" s="38" t="n">
        <f aca="false">Modelo_SIRD!K52</f>
        <v>150628.090512335</v>
      </c>
      <c r="F51" s="34" t="n">
        <f aca="false">IF(E51&lt;=0,"",MIN(1,D51/E51))</f>
        <v>0.562531196616749</v>
      </c>
      <c r="G51" s="40" t="n">
        <f aca="false">Datos_OWID!G50</f>
        <v>0.22</v>
      </c>
      <c r="H51" s="38" t="n">
        <f aca="false">Datos_OWID!F50</f>
        <v>293800</v>
      </c>
    </row>
    <row r="52" customFormat="false" ht="15" hidden="false" customHeight="false" outlineLevel="0" collapsed="false">
      <c r="B52" s="31" t="n">
        <f aca="false">Datos_OWID!B51</f>
        <v>46</v>
      </c>
      <c r="C52" s="32" t="n">
        <f aca="false">Datos_OWID!C51</f>
        <v>44213</v>
      </c>
      <c r="D52" s="38" t="n">
        <f aca="false">Datos_OWID!D51</f>
        <v>77946</v>
      </c>
      <c r="E52" s="38" t="n">
        <f aca="false">Modelo_SIRD!K53</f>
        <v>174012.820152447</v>
      </c>
      <c r="F52" s="34" t="n">
        <f aca="false">IF(E52&lt;=0,"",MIN(1,D52/E52))</f>
        <v>0.447932514005084</v>
      </c>
      <c r="G52" s="40" t="n">
        <f aca="false">Datos_OWID!G51</f>
        <v>0.205714285714286</v>
      </c>
      <c r="H52" s="38" t="n">
        <f aca="false">Datos_OWID!F51</f>
        <v>340339</v>
      </c>
    </row>
    <row r="53" customFormat="false" ht="15" hidden="false" customHeight="false" outlineLevel="0" collapsed="false">
      <c r="B53" s="31" t="n">
        <f aca="false">Datos_OWID!B52</f>
        <v>47</v>
      </c>
      <c r="C53" s="32" t="n">
        <f aca="false">Datos_OWID!C52</f>
        <v>44220</v>
      </c>
      <c r="D53" s="38" t="n">
        <f aca="false">Datos_OWID!D52</f>
        <v>79316</v>
      </c>
      <c r="E53" s="38" t="n">
        <f aca="false">Modelo_SIRD!K54</f>
        <v>200284.380199105</v>
      </c>
      <c r="F53" s="34" t="n">
        <f aca="false">IF(E53&lt;=0,"",MIN(1,D53/E53))</f>
        <v>0.396016903171137</v>
      </c>
      <c r="G53" s="40" t="n">
        <f aca="false">Datos_OWID!G52</f>
        <v>0.177142857142857</v>
      </c>
      <c r="H53" s="38" t="n">
        <f aca="false">Datos_OWID!F52</f>
        <v>346246</v>
      </c>
    </row>
    <row r="54" customFormat="false" ht="15" hidden="false" customHeight="false" outlineLevel="0" collapsed="false">
      <c r="B54" s="31" t="n">
        <f aca="false">Datos_OWID!B53</f>
        <v>48</v>
      </c>
      <c r="C54" s="32" t="n">
        <f aca="false">Datos_OWID!C53</f>
        <v>44227</v>
      </c>
      <c r="D54" s="38" t="n">
        <f aca="false">Datos_OWID!D53</f>
        <v>61185</v>
      </c>
      <c r="E54" s="38" t="n">
        <f aca="false">Modelo_SIRD!K55</f>
        <v>229537.852088191</v>
      </c>
      <c r="F54" s="34" t="n">
        <f aca="false">IF(E54&lt;=0,"",MIN(1,D54/E54))</f>
        <v>0.266557343128279</v>
      </c>
      <c r="G54" s="40" t="n">
        <f aca="false">Datos_OWID!G53</f>
        <v>0.165714285714286</v>
      </c>
      <c r="H54" s="38" t="n">
        <f aca="false">Datos_OWID!F53</f>
        <v>319217</v>
      </c>
    </row>
    <row r="55" customFormat="false" ht="15" hidden="false" customHeight="false" outlineLevel="0" collapsed="false">
      <c r="B55" s="31" t="n">
        <f aca="false">Datos_OWID!B54</f>
        <v>49</v>
      </c>
      <c r="C55" s="32" t="n">
        <f aca="false">Datos_OWID!C54</f>
        <v>44234</v>
      </c>
      <c r="D55" s="38" t="n">
        <f aca="false">Datos_OWID!D54</f>
        <v>51269</v>
      </c>
      <c r="E55" s="38" t="n">
        <f aca="false">Modelo_SIRD!K56</f>
        <v>261772.080928572</v>
      </c>
      <c r="F55" s="34" t="n">
        <f aca="false">IF(E55&lt;=0,"",MIN(1,D55/E55))</f>
        <v>0.195853583079356</v>
      </c>
      <c r="G55" s="40" t="n">
        <f aca="false">Datos_OWID!G54</f>
        <v>0.141428571428571</v>
      </c>
      <c r="H55" s="38" t="n">
        <f aca="false">Datos_OWID!F54</f>
        <v>342523</v>
      </c>
    </row>
    <row r="56" customFormat="false" ht="15" hidden="false" customHeight="false" outlineLevel="0" collapsed="false">
      <c r="B56" s="31" t="n">
        <f aca="false">Datos_OWID!B55</f>
        <v>50</v>
      </c>
      <c r="C56" s="32" t="n">
        <f aca="false">Datos_OWID!C55</f>
        <v>44241</v>
      </c>
      <c r="D56" s="38" t="n">
        <f aca="false">Datos_OWID!D55</f>
        <v>50744</v>
      </c>
      <c r="E56" s="38" t="n">
        <f aca="false">Modelo_SIRD!K57</f>
        <v>296854.195557423</v>
      </c>
      <c r="F56" s="34" t="n">
        <f aca="false">IF(E56&lt;=0,"",MIN(1,D56/E56))</f>
        <v>0.170939136988496</v>
      </c>
      <c r="G56" s="40" t="n">
        <f aca="false">Datos_OWID!G55</f>
        <v>0.128571428571429</v>
      </c>
      <c r="H56" s="38" t="n">
        <f aca="false">Datos_OWID!F55</f>
        <v>321380</v>
      </c>
    </row>
    <row r="57" customFormat="false" ht="15" hidden="false" customHeight="false" outlineLevel="0" collapsed="false">
      <c r="B57" s="31" t="n">
        <f aca="false">Datos_OWID!B56</f>
        <v>51</v>
      </c>
      <c r="C57" s="32" t="n">
        <f aca="false">Datos_OWID!C56</f>
        <v>44248</v>
      </c>
      <c r="D57" s="38" t="n">
        <f aca="false">Datos_OWID!D56</f>
        <v>42687</v>
      </c>
      <c r="E57" s="38" t="n">
        <f aca="false">Modelo_SIRD!K58</f>
        <v>334481.351610698</v>
      </c>
      <c r="F57" s="34" t="n">
        <f aca="false">IF(E57&lt;=0,"",MIN(1,D57/E57))</f>
        <v>0.127621464677897</v>
      </c>
      <c r="G57" s="40" t="n">
        <f aca="false">Datos_OWID!G56</f>
        <v>0.111428571428571</v>
      </c>
      <c r="H57" s="38" t="n">
        <f aca="false">Datos_OWID!F56</f>
        <v>309442</v>
      </c>
    </row>
    <row r="58" customFormat="false" ht="15" hidden="false" customHeight="false" outlineLevel="0" collapsed="false">
      <c r="B58" s="31" t="n">
        <f aca="false">Datos_OWID!B57</f>
        <v>52</v>
      </c>
      <c r="C58" s="32" t="n">
        <f aca="false">Datos_OWID!C57</f>
        <v>44255</v>
      </c>
      <c r="D58" s="38" t="n">
        <f aca="false">Datos_OWID!D57</f>
        <v>44701</v>
      </c>
      <c r="E58" s="38" t="n">
        <f aca="false">Modelo_SIRD!K59</f>
        <v>374143.417478457</v>
      </c>
      <c r="F58" s="34" t="n">
        <f aca="false">IF(E58&lt;=0,"",MIN(1,D58/E58))</f>
        <v>0.119475575171849</v>
      </c>
      <c r="G58" s="40" t="n">
        <f aca="false">Datos_OWID!G57</f>
        <v>0.12</v>
      </c>
      <c r="H58" s="38" t="n">
        <f aca="false">Datos_OWID!F57</f>
        <v>325325</v>
      </c>
    </row>
    <row r="59" customFormat="false" ht="15" hidden="false" customHeight="false" outlineLevel="0" collapsed="false">
      <c r="B59" s="31" t="n">
        <f aca="false">Datos_OWID!B58</f>
        <v>53</v>
      </c>
      <c r="C59" s="32" t="n">
        <f aca="false">Datos_OWID!C58</f>
        <v>44262</v>
      </c>
      <c r="D59" s="38" t="n">
        <f aca="false">Datos_OWID!D58</f>
        <v>43723</v>
      </c>
      <c r="E59" s="38" t="n">
        <f aca="false">Modelo_SIRD!K60</f>
        <v>415092.276970297</v>
      </c>
      <c r="F59" s="34" t="n">
        <f aca="false">IF(E59&lt;=0,"",MIN(1,D59/E59))</f>
        <v>0.105333205231204</v>
      </c>
      <c r="G59" s="40" t="n">
        <f aca="false">Datos_OWID!G58</f>
        <v>0.132857142857143</v>
      </c>
      <c r="H59" s="38" t="n">
        <f aca="false">Datos_OWID!F58</f>
        <v>298861</v>
      </c>
    </row>
    <row r="60" customFormat="false" ht="15" hidden="false" customHeight="false" outlineLevel="0" collapsed="false">
      <c r="B60" s="31" t="n">
        <f aca="false">Datos_OWID!B59</f>
        <v>54</v>
      </c>
      <c r="C60" s="32" t="n">
        <f aca="false">Datos_OWID!C59</f>
        <v>44269</v>
      </c>
      <c r="D60" s="38" t="n">
        <f aca="false">Datos_OWID!D59</f>
        <v>50279</v>
      </c>
      <c r="E60" s="38" t="n">
        <f aca="false">Modelo_SIRD!K61</f>
        <v>456325.299338684</v>
      </c>
      <c r="F60" s="34" t="n">
        <f aca="false">IF(E60&lt;=0,"",MIN(1,D60/E60))</f>
        <v>0.110182363486893</v>
      </c>
      <c r="G60" s="40" t="n">
        <f aca="false">Datos_OWID!G59</f>
        <v>0.14</v>
      </c>
      <c r="H60" s="38" t="n">
        <f aca="false">Datos_OWID!F59</f>
        <v>291808</v>
      </c>
    </row>
    <row r="61" customFormat="false" ht="15" hidden="false" customHeight="false" outlineLevel="0" collapsed="false">
      <c r="B61" s="31" t="n">
        <f aca="false">Datos_OWID!B60</f>
        <v>55</v>
      </c>
      <c r="C61" s="32" t="n">
        <f aca="false">Datos_OWID!C60</f>
        <v>44276</v>
      </c>
      <c r="D61" s="38" t="n">
        <f aca="false">Datos_OWID!D60</f>
        <v>51631</v>
      </c>
      <c r="E61" s="38" t="n">
        <f aca="false">Modelo_SIRD!K62</f>
        <v>496591.717311263</v>
      </c>
      <c r="F61" s="34" t="n">
        <f aca="false">IF(E61&lt;=0,"",MIN(1,D61/E61))</f>
        <v>0.103970723232256</v>
      </c>
      <c r="G61" s="40" t="n">
        <f aca="false">Datos_OWID!G60</f>
        <v>0.14</v>
      </c>
      <c r="H61" s="38" t="n">
        <f aca="false">Datos_OWID!F60</f>
        <v>319246</v>
      </c>
    </row>
    <row r="62" customFormat="false" ht="15" hidden="false" customHeight="false" outlineLevel="0" collapsed="false">
      <c r="B62" s="31" t="n">
        <f aca="false">Datos_OWID!B61</f>
        <v>56</v>
      </c>
      <c r="C62" s="32" t="n">
        <f aca="false">Datos_OWID!C61</f>
        <v>44283</v>
      </c>
      <c r="D62" s="38" t="n">
        <f aca="false">Datos_OWID!D61</f>
        <v>71481</v>
      </c>
      <c r="E62" s="38" t="n">
        <f aca="false">Modelo_SIRD!K63</f>
        <v>534430.333915386</v>
      </c>
      <c r="F62" s="34" t="n">
        <f aca="false">IF(E62&lt;=0,"",MIN(1,D62/E62))</f>
        <v>0.133751764194053</v>
      </c>
      <c r="G62" s="40" t="n">
        <f aca="false">Datos_OWID!G61</f>
        <v>0.164285714285714</v>
      </c>
      <c r="H62" s="38" t="n">
        <f aca="false">Datos_OWID!F61</f>
        <v>331308</v>
      </c>
    </row>
    <row r="63" customFormat="false" ht="15" hidden="false" customHeight="false" outlineLevel="0" collapsed="false">
      <c r="B63" s="31" t="n">
        <f aca="false">Datos_OWID!B62</f>
        <v>57</v>
      </c>
      <c r="C63" s="32" t="n">
        <f aca="false">Datos_OWID!C62</f>
        <v>44290</v>
      </c>
      <c r="D63" s="38" t="n">
        <f aca="false">Datos_OWID!D62</f>
        <v>93977</v>
      </c>
      <c r="E63" s="38" t="n">
        <f aca="false">Modelo_SIRD!K64</f>
        <v>484721.294558082</v>
      </c>
      <c r="F63" s="34" t="n">
        <f aca="false">IF(E63&lt;=0,"",MIN(1,D63/E63))</f>
        <v>0.193878422621557</v>
      </c>
      <c r="G63" s="40" t="n">
        <f aca="false">Datos_OWID!G62</f>
        <v>0.205714285714286</v>
      </c>
      <c r="H63" s="38" t="n">
        <f aca="false">Datos_OWID!F62</f>
        <v>391409</v>
      </c>
    </row>
    <row r="64" customFormat="false" ht="15" hidden="false" customHeight="false" outlineLevel="0" collapsed="false">
      <c r="B64" s="31" t="n">
        <f aca="false">Datos_OWID!B63</f>
        <v>58</v>
      </c>
      <c r="C64" s="32" t="n">
        <f aca="false">Datos_OWID!C63</f>
        <v>44297</v>
      </c>
      <c r="D64" s="38" t="n">
        <f aca="false">Datos_OWID!D63</f>
        <v>153369</v>
      </c>
      <c r="E64" s="38" t="n">
        <f aca="false">Modelo_SIRD!K65</f>
        <v>456154.500502534</v>
      </c>
      <c r="F64" s="34" t="n">
        <f aca="false">IF(E64&lt;=0,"",MIN(1,D64/E64))</f>
        <v>0.336221608755448</v>
      </c>
      <c r="G64" s="40" t="n">
        <f aca="false">Datos_OWID!G63</f>
        <v>0.241428571428571</v>
      </c>
      <c r="H64" s="38" t="n">
        <f aca="false">Datos_OWID!F63</f>
        <v>511759</v>
      </c>
    </row>
    <row r="65" customFormat="false" ht="15" hidden="false" customHeight="false" outlineLevel="0" collapsed="false">
      <c r="B65" s="31" t="n">
        <f aca="false">Datos_OWID!B64</f>
        <v>59</v>
      </c>
      <c r="C65" s="32" t="n">
        <f aca="false">Datos_OWID!C64</f>
        <v>44304</v>
      </c>
      <c r="D65" s="38" t="n">
        <f aca="false">Datos_OWID!D64</f>
        <v>164523</v>
      </c>
      <c r="E65" s="38" t="n">
        <f aca="false">Modelo_SIRD!K66</f>
        <v>425204.084121574</v>
      </c>
      <c r="F65" s="34" t="n">
        <f aca="false">IF(E65&lt;=0,"",MIN(1,D65/E65))</f>
        <v>0.386927139563786</v>
      </c>
      <c r="G65" s="40" t="n">
        <f aca="false">Datos_OWID!G64</f>
        <v>0.247142857142857</v>
      </c>
      <c r="H65" s="38" t="n">
        <f aca="false">Datos_OWID!F64</f>
        <v>609688</v>
      </c>
    </row>
    <row r="66" customFormat="false" ht="15" hidden="false" customHeight="false" outlineLevel="0" collapsed="false">
      <c r="B66" s="31" t="n">
        <f aca="false">Datos_OWID!B65</f>
        <v>60</v>
      </c>
      <c r="C66" s="32" t="n">
        <f aca="false">Datos_OWID!C65</f>
        <v>44311</v>
      </c>
      <c r="D66" s="38" t="n">
        <f aca="false">Datos_OWID!D65</f>
        <v>165754</v>
      </c>
      <c r="E66" s="38" t="n">
        <f aca="false">Modelo_SIRD!K67</f>
        <v>392839.078080099</v>
      </c>
      <c r="F66" s="34" t="n">
        <f aca="false">IF(E66&lt;=0,"",MIN(1,D66/E66))</f>
        <v>0.4219386747624</v>
      </c>
      <c r="G66" s="40" t="n">
        <f aca="false">Datos_OWID!G65</f>
        <v>0.251428571428571</v>
      </c>
      <c r="H66" s="38" t="n">
        <f aca="false">Datos_OWID!F65</f>
        <v>613610</v>
      </c>
    </row>
    <row r="67" customFormat="false" ht="15" hidden="false" customHeight="false" outlineLevel="0" collapsed="false">
      <c r="B67" s="31" t="n">
        <f aca="false">Datos_OWID!B66</f>
        <v>61</v>
      </c>
      <c r="C67" s="32" t="n">
        <f aca="false">Datos_OWID!C66</f>
        <v>44318</v>
      </c>
      <c r="D67" s="38" t="n">
        <f aca="false">Datos_OWID!D66</f>
        <v>141493</v>
      </c>
      <c r="E67" s="38" t="n">
        <f aca="false">Modelo_SIRD!K68</f>
        <v>359953.9592162</v>
      </c>
      <c r="F67" s="34" t="n">
        <f aca="false">IF(E67&lt;=0,"",MIN(1,D67/E67))</f>
        <v>0.393086383347751</v>
      </c>
      <c r="G67" s="40" t="n">
        <f aca="false">Datos_OWID!G66</f>
        <v>0.247142857142857</v>
      </c>
      <c r="H67" s="38" t="n">
        <f aca="false">Datos_OWID!F66</f>
        <v>561350</v>
      </c>
    </row>
    <row r="68" customFormat="false" ht="15" hidden="false" customHeight="false" outlineLevel="0" collapsed="false">
      <c r="B68" s="31" t="n">
        <f aca="false">Datos_OWID!B67</f>
        <v>62</v>
      </c>
      <c r="C68" s="32" t="n">
        <f aca="false">Datos_OWID!C67</f>
        <v>44325</v>
      </c>
      <c r="D68" s="38" t="n">
        <f aca="false">Datos_OWID!D67</f>
        <v>144708</v>
      </c>
      <c r="E68" s="38" t="n">
        <f aca="false">Modelo_SIRD!K69</f>
        <v>327330.011893321</v>
      </c>
      <c r="F68" s="34" t="n">
        <f aca="false">IF(E68&lt;=0,"",MIN(1,D68/E68))</f>
        <v>0.44208595222598</v>
      </c>
      <c r="G68" s="40" t="n">
        <f aca="false">Datos_OWID!G67</f>
        <v>0.238571428571429</v>
      </c>
      <c r="H68" s="38" t="n">
        <f aca="false">Datos_OWID!F67</f>
        <v>562420</v>
      </c>
    </row>
    <row r="69" customFormat="false" ht="15" hidden="false" customHeight="false" outlineLevel="0" collapsed="false">
      <c r="B69" s="31" t="n">
        <f aca="false">Datos_OWID!B68</f>
        <v>63</v>
      </c>
      <c r="C69" s="32" t="n">
        <f aca="false">Datos_OWID!C68</f>
        <v>44332</v>
      </c>
      <c r="D69" s="38" t="n">
        <f aca="false">Datos_OWID!D68</f>
        <v>165989</v>
      </c>
      <c r="E69" s="38" t="n">
        <f aca="false">Modelo_SIRD!K70</f>
        <v>295612.979710352</v>
      </c>
      <c r="F69" s="34" t="n">
        <f aca="false">IF(E69&lt;=0,"",MIN(1,D69/E69))</f>
        <v>0.561507820673638</v>
      </c>
      <c r="G69" s="40" t="n">
        <f aca="false">Datos_OWID!G68</f>
        <v>0.257142857142857</v>
      </c>
      <c r="H69" s="38" t="n">
        <f aca="false">Datos_OWID!F68</f>
        <v>563533</v>
      </c>
    </row>
    <row r="70" customFormat="false" ht="15" hidden="false" customHeight="false" outlineLevel="0" collapsed="false">
      <c r="B70" s="31" t="n">
        <f aca="false">Datos_OWID!B69</f>
        <v>64</v>
      </c>
      <c r="C70" s="32" t="n">
        <f aca="false">Datos_OWID!C69</f>
        <v>44339</v>
      </c>
      <c r="D70" s="38" t="n">
        <f aca="false">Datos_OWID!D69</f>
        <v>234660</v>
      </c>
      <c r="E70" s="38" t="n">
        <f aca="false">Modelo_SIRD!K71</f>
        <v>265305.506571617</v>
      </c>
      <c r="F70" s="34" t="n">
        <f aca="false">IF(E70&lt;=0,"",MIN(1,D70/E70))</f>
        <v>0.884489745547952</v>
      </c>
      <c r="G70" s="40" t="n">
        <f aca="false">Datos_OWID!G69</f>
        <v>0.278571428571429</v>
      </c>
      <c r="H70" s="38" t="n">
        <f aca="false">Datos_OWID!F69</f>
        <v>687050</v>
      </c>
    </row>
    <row r="71" customFormat="false" ht="15" hidden="false" customHeight="false" outlineLevel="0" collapsed="false">
      <c r="B71" s="31" t="n">
        <f aca="false">Datos_OWID!B70</f>
        <v>65</v>
      </c>
      <c r="C71" s="32" t="n">
        <f aca="false">Datos_OWID!C70</f>
        <v>44346</v>
      </c>
      <c r="D71" s="38" t="n">
        <f aca="false">Datos_OWID!D70</f>
        <v>208332</v>
      </c>
      <c r="E71" s="38" t="n">
        <f aca="false">Modelo_SIRD!K72</f>
        <v>236771.442522813</v>
      </c>
      <c r="F71" s="34" t="n">
        <f aca="false">IF(E71&lt;=0,"",MIN(1,D71/E71))</f>
        <v>0.87988651747952</v>
      </c>
      <c r="G71" s="40" t="n">
        <f aca="false">Datos_OWID!G70</f>
        <v>0.288571428571429</v>
      </c>
      <c r="H71" s="38" t="n">
        <f aca="false">Datos_OWID!F70</f>
        <v>673611</v>
      </c>
    </row>
    <row r="72" customFormat="false" ht="15" hidden="false" customHeight="false" outlineLevel="0" collapsed="false">
      <c r="B72" s="31" t="n">
        <f aca="false">Datos_OWID!B71</f>
        <v>66</v>
      </c>
      <c r="C72" s="32" t="n">
        <f aca="false">Datos_OWID!C71</f>
        <v>44353</v>
      </c>
      <c r="D72" s="38" t="n">
        <f aca="false">Datos_OWID!D71</f>
        <v>195205</v>
      </c>
      <c r="E72" s="38" t="n">
        <f aca="false">Modelo_SIRD!K73</f>
        <v>210248.514735665</v>
      </c>
      <c r="F72" s="34" t="n">
        <f aca="false">IF(E72&lt;=0,"",MIN(1,D72/E72))</f>
        <v>0.928448889379416</v>
      </c>
      <c r="G72" s="40" t="n">
        <f aca="false">Datos_OWID!G71</f>
        <v>0.281428571428571</v>
      </c>
      <c r="H72" s="38" t="n">
        <f aca="false">Datos_OWID!F71</f>
        <v>698015</v>
      </c>
    </row>
    <row r="73" customFormat="false" ht="15" hidden="false" customHeight="false" outlineLevel="0" collapsed="false">
      <c r="B73" s="31" t="n">
        <f aca="false">Datos_OWID!B72</f>
        <v>67</v>
      </c>
      <c r="C73" s="32" t="n">
        <f aca="false">Datos_OWID!C72</f>
        <v>44360</v>
      </c>
      <c r="D73" s="38" t="n">
        <f aca="false">Datos_OWID!D72</f>
        <v>162769</v>
      </c>
      <c r="E73" s="38" t="n">
        <f aca="false">Modelo_SIRD!K74</f>
        <v>185865.961533342</v>
      </c>
      <c r="F73" s="34" t="n">
        <f aca="false">IF(E73&lt;=0,"",MIN(1,D73/E73))</f>
        <v>0.875733236237565</v>
      </c>
      <c r="G73" s="40" t="n">
        <f aca="false">Datos_OWID!G72</f>
        <v>0.245714285714286</v>
      </c>
      <c r="H73" s="38" t="n">
        <f aca="false">Datos_OWID!F72</f>
        <v>661261</v>
      </c>
    </row>
    <row r="74" customFormat="false" ht="15" hidden="false" customHeight="false" outlineLevel="0" collapsed="false">
      <c r="B74" s="31" t="n">
        <f aca="false">Datos_OWID!B73</f>
        <v>68</v>
      </c>
      <c r="C74" s="32" t="n">
        <f aca="false">Datos_OWID!C73</f>
        <v>44367</v>
      </c>
      <c r="D74" s="38" t="n">
        <f aca="false">Datos_OWID!D73</f>
        <v>137636</v>
      </c>
      <c r="E74" s="38" t="n">
        <f aca="false">Modelo_SIRD!K75</f>
        <v>163664.249304473</v>
      </c>
      <c r="F74" s="34" t="n">
        <f aca="false">IF(E74&lt;=0,"",MIN(1,D74/E74))</f>
        <v>0.840965577912794</v>
      </c>
      <c r="G74" s="40" t="n">
        <f aca="false">Datos_OWID!G73</f>
        <v>0.225714285714286</v>
      </c>
      <c r="H74" s="38" t="n">
        <f aca="false">Datos_OWID!F73</f>
        <v>612894</v>
      </c>
    </row>
    <row r="75" customFormat="false" ht="15" hidden="false" customHeight="false" outlineLevel="0" collapsed="false">
      <c r="B75" s="31" t="n">
        <f aca="false">Datos_OWID!B74</f>
        <v>69</v>
      </c>
      <c r="C75" s="32" t="n">
        <f aca="false">Datos_OWID!C74</f>
        <v>44374</v>
      </c>
      <c r="D75" s="38" t="n">
        <f aca="false">Datos_OWID!D74</f>
        <v>133147</v>
      </c>
      <c r="E75" s="38" t="n">
        <f aca="false">Modelo_SIRD!K76</f>
        <v>143614.703471791</v>
      </c>
      <c r="F75" s="34" t="n">
        <f aca="false">IF(E75&lt;=0,"",MIN(1,D75/E75))</f>
        <v>0.927112592104143</v>
      </c>
      <c r="G75" s="40" t="n">
        <f aca="false">Datos_OWID!G74</f>
        <v>0.217142857142857</v>
      </c>
      <c r="H75" s="38" t="n">
        <f aca="false">Datos_OWID!F74</f>
        <v>537526</v>
      </c>
    </row>
    <row r="76" customFormat="false" ht="15" hidden="false" customHeight="false" outlineLevel="0" collapsed="false">
      <c r="B76" s="31" t="n">
        <f aca="false">Datos_OWID!B75</f>
        <v>70</v>
      </c>
      <c r="C76" s="32" t="n">
        <f aca="false">Datos_OWID!C75</f>
        <v>44381</v>
      </c>
      <c r="D76" s="38" t="n">
        <f aca="false">Datos_OWID!D75</f>
        <v>125444</v>
      </c>
      <c r="E76" s="38" t="n">
        <f aca="false">Modelo_SIRD!K77</f>
        <v>145421.317901582</v>
      </c>
      <c r="F76" s="34" t="n">
        <f aca="false">IF(E76&lt;=0,"",MIN(1,D76/E76))</f>
        <v>0.8626245574593</v>
      </c>
      <c r="G76" s="40" t="n">
        <f aca="false">Datos_OWID!G75</f>
        <v>0.217142857142857</v>
      </c>
      <c r="H76" s="38" t="n">
        <f aca="false">Datos_OWID!F75</f>
        <v>559465</v>
      </c>
    </row>
    <row r="77" customFormat="false" ht="15" hidden="false" customHeight="false" outlineLevel="0" collapsed="false">
      <c r="B77" s="31" t="n">
        <f aca="false">Datos_OWID!B76</f>
        <v>71</v>
      </c>
      <c r="C77" s="32" t="n">
        <f aca="false">Datos_OWID!C76</f>
        <v>44388</v>
      </c>
      <c r="D77" s="38" t="n">
        <f aca="false">Datos_OWID!D76</f>
        <v>108881</v>
      </c>
      <c r="E77" s="38" t="n">
        <f aca="false">Modelo_SIRD!K78</f>
        <v>139922.080387846</v>
      </c>
      <c r="F77" s="34" t="n">
        <f aca="false">IF(E77&lt;=0,"",MIN(1,D77/E77))</f>
        <v>0.778154524991311</v>
      </c>
      <c r="G77" s="40" t="n">
        <f aca="false">Datos_OWID!G76</f>
        <v>0.185714285714286</v>
      </c>
      <c r="H77" s="38" t="n">
        <f aca="false">Datos_OWID!F76</f>
        <v>583476</v>
      </c>
    </row>
    <row r="78" customFormat="false" ht="15" hidden="false" customHeight="false" outlineLevel="0" collapsed="false">
      <c r="B78" s="31" t="n">
        <f aca="false">Datos_OWID!B77</f>
        <v>72</v>
      </c>
      <c r="C78" s="32" t="n">
        <f aca="false">Datos_OWID!C77</f>
        <v>44395</v>
      </c>
      <c r="D78" s="38" t="n">
        <f aca="false">Datos_OWID!D77</f>
        <v>105110</v>
      </c>
      <c r="E78" s="38" t="n">
        <f aca="false">Modelo_SIRD!K79</f>
        <v>134184.952917214</v>
      </c>
      <c r="F78" s="34" t="n">
        <f aca="false">IF(E78&lt;=0,"",MIN(1,D78/E78))</f>
        <v>0.783321808555149</v>
      </c>
      <c r="G78" s="40" t="n">
        <f aca="false">Datos_OWID!G77</f>
        <v>0.164285714285714</v>
      </c>
      <c r="H78" s="38" t="n">
        <f aca="false">Datos_OWID!F77</f>
        <v>604164</v>
      </c>
    </row>
    <row r="79" customFormat="false" ht="15" hidden="false" customHeight="false" outlineLevel="0" collapsed="false">
      <c r="B79" s="31" t="n">
        <f aca="false">Datos_OWID!B78</f>
        <v>73</v>
      </c>
      <c r="C79" s="32" t="n">
        <f aca="false">Datos_OWID!C78</f>
        <v>44402</v>
      </c>
      <c r="D79" s="38" t="n">
        <f aca="false">Datos_OWID!D78</f>
        <v>88348</v>
      </c>
      <c r="E79" s="38" t="n">
        <f aca="false">Modelo_SIRD!K80</f>
        <v>128273.738514852</v>
      </c>
      <c r="F79" s="34" t="n">
        <f aca="false">IF(E79&lt;=0,"",MIN(1,D79/E79))</f>
        <v>0.688745810505639</v>
      </c>
      <c r="G79" s="40" t="n">
        <f aca="false">Datos_OWID!G78</f>
        <v>0.142857142857143</v>
      </c>
      <c r="H79" s="38" t="n">
        <f aca="false">Datos_OWID!F78</f>
        <v>596486</v>
      </c>
    </row>
    <row r="80" customFormat="false" ht="15" hidden="false" customHeight="false" outlineLevel="0" collapsed="false">
      <c r="B80" s="31" t="n">
        <f aca="false">Datos_OWID!B79</f>
        <v>74</v>
      </c>
      <c r="C80" s="32" t="n">
        <f aca="false">Datos_OWID!C79</f>
        <v>44409</v>
      </c>
      <c r="D80" s="38" t="n">
        <f aca="false">Datos_OWID!D79</f>
        <v>87225</v>
      </c>
      <c r="E80" s="38" t="n">
        <f aca="false">Modelo_SIRD!K81</f>
        <v>122249.514104411</v>
      </c>
      <c r="F80" s="34" t="n">
        <f aca="false">IF(E80&lt;=0,"",MIN(1,D80/E80))</f>
        <v>0.71349976839583</v>
      </c>
      <c r="G80" s="40" t="n">
        <f aca="false">Datos_OWID!G79</f>
        <v>0.14</v>
      </c>
      <c r="H80" s="38" t="n">
        <f aca="false">Datos_OWID!F79</f>
        <v>609833</v>
      </c>
    </row>
    <row r="81" customFormat="false" ht="15" hidden="false" customHeight="false" outlineLevel="0" collapsed="false">
      <c r="B81" s="31" t="n">
        <f aca="false">Datos_OWID!B80</f>
        <v>75</v>
      </c>
      <c r="C81" s="32" t="n">
        <f aca="false">Datos_OWID!C80</f>
        <v>44416</v>
      </c>
      <c r="D81" s="38" t="n">
        <f aca="false">Datos_OWID!D80</f>
        <v>80437</v>
      </c>
      <c r="E81" s="38" t="n">
        <f aca="false">Modelo_SIRD!K82</f>
        <v>116169.609785631</v>
      </c>
      <c r="F81" s="34" t="n">
        <f aca="false">IF(E81&lt;=0,"",MIN(1,D81/E81))</f>
        <v>0.692410004203604</v>
      </c>
      <c r="G81" s="40" t="n">
        <f aca="false">Datos_OWID!G80</f>
        <v>0.125714285714286</v>
      </c>
      <c r="H81" s="38" t="n">
        <f aca="false">Datos_OWID!F80</f>
        <v>641188</v>
      </c>
    </row>
    <row r="82" customFormat="false" ht="15" hidden="false" customHeight="false" outlineLevel="0" collapsed="false">
      <c r="B82" s="31" t="n">
        <f aca="false">Datos_OWID!B81</f>
        <v>76</v>
      </c>
      <c r="C82" s="32" t="n">
        <f aca="false">Datos_OWID!C81</f>
        <v>44423</v>
      </c>
      <c r="D82" s="38" t="n">
        <f aca="false">Datos_OWID!D81</f>
        <v>62306</v>
      </c>
      <c r="E82" s="38" t="n">
        <f aca="false">Modelo_SIRD!K83</f>
        <v>110086.816737633</v>
      </c>
      <c r="F82" s="34" t="n">
        <f aca="false">IF(E82&lt;=0,"",MIN(1,D82/E82))</f>
        <v>0.565971492740063</v>
      </c>
      <c r="G82" s="40" t="n">
        <f aca="false">Datos_OWID!G81</f>
        <v>0.104285714285714</v>
      </c>
      <c r="H82" s="38" t="n">
        <f aca="false">Datos_OWID!F81</f>
        <v>626961</v>
      </c>
    </row>
    <row r="83" customFormat="false" ht="15" hidden="false" customHeight="false" outlineLevel="0" collapsed="false">
      <c r="B83" s="31" t="n">
        <f aca="false">Datos_OWID!B82</f>
        <v>77</v>
      </c>
      <c r="C83" s="32" t="n">
        <f aca="false">Datos_OWID!C82</f>
        <v>44430</v>
      </c>
      <c r="D83" s="38" t="n">
        <f aca="false">Datos_OWID!D82</f>
        <v>47254</v>
      </c>
      <c r="E83" s="38" t="n">
        <f aca="false">Modelo_SIRD!K84</f>
        <v>104048.822778881</v>
      </c>
      <c r="F83" s="34" t="n">
        <f aca="false">IF(E83&lt;=0,"",MIN(1,D83/E83))</f>
        <v>0.454152182965317</v>
      </c>
      <c r="G83" s="40" t="n">
        <f aca="false">Datos_OWID!G82</f>
        <v>0.08</v>
      </c>
      <c r="H83" s="38" t="n">
        <f aca="false">Datos_OWID!F82</f>
        <v>572005</v>
      </c>
    </row>
    <row r="84" customFormat="false" ht="15" hidden="false" customHeight="false" outlineLevel="0" collapsed="false">
      <c r="B84" s="31" t="n">
        <f aca="false">Datos_OWID!B83</f>
        <v>78</v>
      </c>
      <c r="C84" s="32" t="n">
        <f aca="false">Datos_OWID!C83</f>
        <v>44437</v>
      </c>
      <c r="D84" s="38" t="n">
        <f aca="false">Datos_OWID!D83</f>
        <v>38265</v>
      </c>
      <c r="E84" s="38" t="n">
        <f aca="false">Modelo_SIRD!K85</f>
        <v>98097.8638517782</v>
      </c>
      <c r="F84" s="34" t="n">
        <f aca="false">IF(E84&lt;=0,"",MIN(1,D84/E84))</f>
        <v>0.390069655928664</v>
      </c>
      <c r="G84" s="40" t="n">
        <f aca="false">Datos_OWID!G83</f>
        <v>0.0585714285714285</v>
      </c>
      <c r="H84" s="38" t="n">
        <f aca="false">Datos_OWID!F83</f>
        <v>619956</v>
      </c>
    </row>
    <row r="85" customFormat="false" ht="15" hidden="false" customHeight="false" outlineLevel="0" collapsed="false">
      <c r="B85" s="31" t="n">
        <f aca="false">Datos_OWID!B84</f>
        <v>79</v>
      </c>
      <c r="C85" s="32" t="n">
        <f aca="false">Datos_OWID!C84</f>
        <v>44444</v>
      </c>
      <c r="D85" s="38" t="n">
        <f aca="false">Datos_OWID!D84</f>
        <v>28531</v>
      </c>
      <c r="E85" s="38" t="n">
        <f aca="false">Modelo_SIRD!K86</f>
        <v>92270.5715093389</v>
      </c>
      <c r="F85" s="34" t="n">
        <f aca="false">IF(E85&lt;=0,"",MIN(1,D85/E85))</f>
        <v>0.309210179727914</v>
      </c>
      <c r="G85" s="40" t="n">
        <f aca="false">Datos_OWID!G84</f>
        <v>0.05</v>
      </c>
      <c r="H85" s="38" t="n">
        <f aca="false">Datos_OWID!F84</f>
        <v>567420</v>
      </c>
    </row>
    <row r="86" customFormat="false" ht="15" hidden="false" customHeight="false" outlineLevel="0" collapsed="false">
      <c r="B86" s="31" t="n">
        <f aca="false">Datos_OWID!B85</f>
        <v>80</v>
      </c>
      <c r="C86" s="32" t="n">
        <f aca="false">Datos_OWID!C85</f>
        <v>44451</v>
      </c>
      <c r="D86" s="38" t="n">
        <f aca="false">Datos_OWID!D85</f>
        <v>19860</v>
      </c>
      <c r="E86" s="38" t="n">
        <f aca="false">Modelo_SIRD!K87</f>
        <v>86597.9909360521</v>
      </c>
      <c r="F86" s="34" t="n">
        <f aca="false">IF(E86&lt;=0,"",MIN(1,D86/E86))</f>
        <v>0.22933557447846</v>
      </c>
      <c r="G86" s="40" t="n">
        <f aca="false">Datos_OWID!G85</f>
        <v>0.0385714285714285</v>
      </c>
      <c r="H86" s="38" t="n">
        <f aca="false">Datos_OWID!F85</f>
        <v>460033</v>
      </c>
    </row>
    <row r="87" customFormat="false" ht="15" hidden="false" customHeight="false" outlineLevel="0" collapsed="false">
      <c r="B87" s="31" t="n">
        <f aca="false">Datos_OWID!B86</f>
        <v>81</v>
      </c>
      <c r="C87" s="32" t="n">
        <f aca="false">Datos_OWID!C86</f>
        <v>44458</v>
      </c>
      <c r="D87" s="38" t="n">
        <f aca="false">Datos_OWID!D86</f>
        <v>14221</v>
      </c>
      <c r="E87" s="38" t="n">
        <f aca="false">Modelo_SIRD!K88</f>
        <v>81105.7409748435</v>
      </c>
      <c r="F87" s="34" t="n">
        <f aca="false">IF(E87&lt;=0,"",MIN(1,D87/E87))</f>
        <v>0.175339005957802</v>
      </c>
      <c r="G87" s="40" t="n">
        <f aca="false">Datos_OWID!G86</f>
        <v>0.03</v>
      </c>
      <c r="H87" s="38" t="n">
        <f aca="false">Datos_OWID!F86</f>
        <v>375797</v>
      </c>
    </row>
    <row r="88" customFormat="false" ht="15" hidden="false" customHeight="false" outlineLevel="0" collapsed="false">
      <c r="B88" s="31" t="n">
        <f aca="false">Datos_OWID!B87</f>
        <v>82</v>
      </c>
      <c r="C88" s="32" t="n">
        <f aca="false">Datos_OWID!C87</f>
        <v>44465</v>
      </c>
      <c r="D88" s="38" t="n">
        <f aca="false">Datos_OWID!D87</f>
        <v>10997</v>
      </c>
      <c r="E88" s="38" t="n">
        <f aca="false">Modelo_SIRD!K89</f>
        <v>75814.2867332213</v>
      </c>
      <c r="F88" s="34" t="n">
        <f aca="false">IF(E88&lt;=0,"",MIN(1,D88/E88))</f>
        <v>0.145051816403638</v>
      </c>
      <c r="G88" s="40" t="n">
        <f aca="false">Datos_OWID!G87</f>
        <v>0.0228571428571428</v>
      </c>
      <c r="H88" s="38" t="n">
        <f aca="false">Datos_OWID!F87</f>
        <v>350614</v>
      </c>
    </row>
    <row r="89" customFormat="false" ht="15" hidden="false" customHeight="false" outlineLevel="0" collapsed="false">
      <c r="B89" s="31" t="n">
        <f aca="false">Datos_OWID!B88</f>
        <v>83</v>
      </c>
      <c r="C89" s="32" t="n">
        <f aca="false">Datos_OWID!C88</f>
        <v>44472</v>
      </c>
      <c r="D89" s="38" t="n">
        <f aca="false">Datos_OWID!D88</f>
        <v>9250</v>
      </c>
      <c r="E89" s="38" t="n">
        <f aca="false">Modelo_SIRD!K90</f>
        <v>70739.2961876392</v>
      </c>
      <c r="F89" s="34" t="n">
        <f aca="false">IF(E89&lt;=0,"",MIN(1,D89/E89))</f>
        <v>0.130761832510518</v>
      </c>
      <c r="G89" s="40" t="n">
        <f aca="false">Datos_OWID!G88</f>
        <v>0.02</v>
      </c>
      <c r="H89" s="38" t="n">
        <f aca="false">Datos_OWID!F88</f>
        <v>327912</v>
      </c>
    </row>
    <row r="90" customFormat="false" ht="15" hidden="false" customHeight="false" outlineLevel="0" collapsed="false">
      <c r="B90" s="31" t="n">
        <f aca="false">Datos_OWID!B89</f>
        <v>84</v>
      </c>
      <c r="C90" s="32" t="n">
        <f aca="false">Datos_OWID!C89</f>
        <v>44479</v>
      </c>
      <c r="D90" s="38" t="n">
        <f aca="false">Datos_OWID!D89</f>
        <v>6633</v>
      </c>
      <c r="E90" s="38" t="n">
        <f aca="false">Modelo_SIRD!K91</f>
        <v>65892.0543462522</v>
      </c>
      <c r="F90" s="34" t="n">
        <f aca="false">IF(E90&lt;=0,"",MIN(1,D90/E90))</f>
        <v>0.100664641068021</v>
      </c>
      <c r="G90" s="40" t="n">
        <f aca="false">Datos_OWID!G89</f>
        <v>0.02</v>
      </c>
      <c r="H90" s="38" t="n">
        <f aca="false">Datos_OWID!F89</f>
        <v>292990</v>
      </c>
    </row>
    <row r="91" customFormat="false" ht="15" hidden="false" customHeight="false" outlineLevel="0" collapsed="false">
      <c r="B91" s="31" t="n">
        <f aca="false">Datos_OWID!B90</f>
        <v>85</v>
      </c>
      <c r="C91" s="32" t="n">
        <f aca="false">Datos_OWID!C90</f>
        <v>44486</v>
      </c>
      <c r="D91" s="38" t="n">
        <f aca="false">Datos_OWID!D90</f>
        <v>7214</v>
      </c>
      <c r="E91" s="38" t="n">
        <f aca="false">Modelo_SIRD!K92</f>
        <v>61279.91153327</v>
      </c>
      <c r="F91" s="34" t="n">
        <f aca="false">IF(E91&lt;=0,"",MIN(1,D91/E91))</f>
        <v>0.117722102064122</v>
      </c>
      <c r="G91" s="40" t="n">
        <f aca="false">Datos_OWID!G90</f>
        <v>0.02</v>
      </c>
      <c r="H91" s="38" t="n">
        <f aca="false">Datos_OWID!F90</f>
        <v>264293</v>
      </c>
    </row>
    <row r="92" customFormat="false" ht="15" hidden="false" customHeight="false" outlineLevel="0" collapsed="false">
      <c r="B92" s="31" t="n">
        <f aca="false">Datos_OWID!B91</f>
        <v>86</v>
      </c>
      <c r="C92" s="32" t="n">
        <f aca="false">Datos_OWID!C91</f>
        <v>44493</v>
      </c>
      <c r="D92" s="38" t="n">
        <f aca="false">Datos_OWID!D91</f>
        <v>8597</v>
      </c>
      <c r="E92" s="38" t="n">
        <f aca="false">Modelo_SIRD!K93</f>
        <v>56906.7458372526</v>
      </c>
      <c r="F92" s="34" t="n">
        <f aca="false">IF(E92&lt;=0,"",MIN(1,D92/E92))</f>
        <v>0.151071720470303</v>
      </c>
      <c r="G92" s="40" t="n">
        <f aca="false">Datos_OWID!G91</f>
        <v>0.02</v>
      </c>
      <c r="H92" s="38" t="n">
        <f aca="false">Datos_OWID!F91</f>
        <v>303888</v>
      </c>
    </row>
    <row r="93" customFormat="false" ht="15" hidden="false" customHeight="false" outlineLevel="0" collapsed="false">
      <c r="B93" s="31" t="n">
        <f aca="false">Datos_OWID!B92</f>
        <v>87</v>
      </c>
      <c r="C93" s="32" t="n">
        <f aca="false">Datos_OWID!C92</f>
        <v>44500</v>
      </c>
      <c r="D93" s="38" t="n">
        <f aca="false">Datos_OWID!D92</f>
        <v>9024</v>
      </c>
      <c r="E93" s="38" t="n">
        <f aca="false">Modelo_SIRD!K94</f>
        <v>52773.4234025106</v>
      </c>
      <c r="F93" s="34" t="n">
        <f aca="false">IF(E93&lt;=0,"",MIN(1,D93/E93))</f>
        <v>0.170995160408159</v>
      </c>
      <c r="G93" s="40" t="n">
        <f aca="false">Datos_OWID!G92</f>
        <v>0.0271428571428571</v>
      </c>
      <c r="H93" s="38" t="n">
        <f aca="false">Datos_OWID!F92</f>
        <v>300597</v>
      </c>
    </row>
    <row r="94" customFormat="false" ht="15" hidden="false" customHeight="false" outlineLevel="0" collapsed="false">
      <c r="B94" s="31" t="n">
        <f aca="false">Datos_OWID!B93</f>
        <v>88</v>
      </c>
      <c r="C94" s="32" t="n">
        <f aca="false">Datos_OWID!C93</f>
        <v>44507</v>
      </c>
      <c r="D94" s="38" t="n">
        <f aca="false">Datos_OWID!D93</f>
        <v>8642</v>
      </c>
      <c r="E94" s="38" t="n">
        <f aca="false">Modelo_SIRD!K95</f>
        <v>48878.2437925376</v>
      </c>
      <c r="F94" s="34" t="n">
        <f aca="false">IF(E94&lt;=0,"",MIN(1,D94/E94))</f>
        <v>0.176806679811999</v>
      </c>
      <c r="G94" s="40" t="n">
        <f aca="false">Datos_OWID!G93</f>
        <v>0.03</v>
      </c>
      <c r="H94" s="38" t="n">
        <f aca="false">Datos_OWID!F93</f>
        <v>276905</v>
      </c>
    </row>
    <row r="95" customFormat="false" ht="15" hidden="false" customHeight="false" outlineLevel="0" collapsed="false">
      <c r="B95" s="31" t="n">
        <f aca="false">Datos_OWID!B94</f>
        <v>89</v>
      </c>
      <c r="C95" s="32" t="n">
        <f aca="false">Datos_OWID!C94</f>
        <v>44514</v>
      </c>
      <c r="D95" s="38" t="n">
        <f aca="false">Datos_OWID!D94</f>
        <v>9415</v>
      </c>
      <c r="E95" s="38" t="n">
        <f aca="false">Modelo_SIRD!K96</f>
        <v>45217.3609440848</v>
      </c>
      <c r="F95" s="34" t="n">
        <f aca="false">IF(E95&lt;=0,"",MIN(1,D95/E95))</f>
        <v>0.208216485956411</v>
      </c>
      <c r="G95" s="40" t="n">
        <f aca="false">Datos_OWID!G94</f>
        <v>0.0342857142857142</v>
      </c>
      <c r="H95" s="38" t="n">
        <f aca="false">Datos_OWID!F94</f>
        <v>266939</v>
      </c>
    </row>
    <row r="96" customFormat="false" ht="15" hidden="false" customHeight="false" outlineLevel="0" collapsed="false">
      <c r="B96" s="31" t="n">
        <f aca="false">Datos_OWID!B95</f>
        <v>90</v>
      </c>
      <c r="C96" s="32" t="n">
        <f aca="false">Datos_OWID!C95</f>
        <v>44521</v>
      </c>
      <c r="D96" s="38" t="n">
        <f aca="false">Datos_OWID!D95</f>
        <v>10247</v>
      </c>
      <c r="E96" s="38" t="n">
        <f aca="false">Modelo_SIRD!K97</f>
        <v>41785.173151046</v>
      </c>
      <c r="F96" s="34" t="n">
        <f aca="false">IF(E96&lt;=0,"",MIN(1,D96/E96))</f>
        <v>0.245230526219406</v>
      </c>
      <c r="G96" s="40" t="n">
        <f aca="false">Datos_OWID!G95</f>
        <v>0.04</v>
      </c>
      <c r="H96" s="38" t="n">
        <f aca="false">Datos_OWID!F95</f>
        <v>266748</v>
      </c>
    </row>
    <row r="97" customFormat="false" ht="15" hidden="false" customHeight="false" outlineLevel="0" collapsed="false">
      <c r="B97" s="31" t="n">
        <f aca="false">Datos_OWID!B96</f>
        <v>91</v>
      </c>
      <c r="C97" s="32" t="n">
        <f aca="false">Datos_OWID!C96</f>
        <v>44528</v>
      </c>
      <c r="D97" s="38" t="n">
        <f aca="false">Datos_OWID!D96</f>
        <v>11855</v>
      </c>
      <c r="E97" s="38" t="n">
        <f aca="false">Modelo_SIRD!K98</f>
        <v>38574.6780134477</v>
      </c>
      <c r="F97" s="34" t="n">
        <f aca="false">IF(E97&lt;=0,"",MIN(1,D97/E97))</f>
        <v>0.307325961239837</v>
      </c>
      <c r="G97" s="40" t="n">
        <f aca="false">Datos_OWID!G96</f>
        <v>0.0457142857142857</v>
      </c>
      <c r="H97" s="38" t="n">
        <f aca="false">Datos_OWID!F96</f>
        <v>235923</v>
      </c>
    </row>
    <row r="98" customFormat="false" ht="15" hidden="false" customHeight="false" outlineLevel="0" collapsed="false">
      <c r="B98" s="31" t="n">
        <f aca="false">Datos_OWID!B97</f>
        <v>92</v>
      </c>
      <c r="C98" s="32" t="n">
        <f aca="false">Datos_OWID!C97</f>
        <v>44535</v>
      </c>
      <c r="D98" s="38" t="n">
        <f aca="false">Datos_OWID!D97</f>
        <v>15763</v>
      </c>
      <c r="E98" s="38" t="n">
        <f aca="false">Modelo_SIRD!K99</f>
        <v>42912.3718605451</v>
      </c>
      <c r="F98" s="34" t="n">
        <f aca="false">IF(E98&lt;=0,"",MIN(1,D98/E98))</f>
        <v>0.367329963750919</v>
      </c>
      <c r="G98" s="40" t="n">
        <f aca="false">Datos_OWID!G97</f>
        <v>0.0542857142857142</v>
      </c>
      <c r="H98" s="38" t="n">
        <f aca="false">Datos_OWID!F97</f>
        <v>264110</v>
      </c>
    </row>
    <row r="99" customFormat="false" ht="15" hidden="false" customHeight="false" outlineLevel="0" collapsed="false">
      <c r="B99" s="31" t="n">
        <f aca="false">Datos_OWID!B98</f>
        <v>93</v>
      </c>
      <c r="C99" s="32" t="n">
        <f aca="false">Datos_OWID!C98</f>
        <v>44542</v>
      </c>
      <c r="D99" s="38" t="n">
        <f aca="false">Datos_OWID!D98</f>
        <v>20177</v>
      </c>
      <c r="E99" s="38" t="n">
        <f aca="false">Modelo_SIRD!K100</f>
        <v>45034.1659212969</v>
      </c>
      <c r="F99" s="34" t="n">
        <f aca="false">IF(E99&lt;=0,"",MIN(1,D99/E99))</f>
        <v>0.448037608496224</v>
      </c>
      <c r="G99" s="40" t="n">
        <f aca="false">Datos_OWID!G98</f>
        <v>0.0642857142857143</v>
      </c>
      <c r="H99" s="38" t="n">
        <f aca="false">Datos_OWID!F98</f>
        <v>273518</v>
      </c>
    </row>
    <row r="100" customFormat="false" ht="15" hidden="false" customHeight="false" outlineLevel="0" collapsed="false">
      <c r="B100" s="31" t="n">
        <f aca="false">Datos_OWID!B99</f>
        <v>94</v>
      </c>
      <c r="C100" s="32" t="n">
        <f aca="false">Datos_OWID!C99</f>
        <v>44549</v>
      </c>
      <c r="D100" s="38" t="n">
        <f aca="false">Datos_OWID!D99</f>
        <v>37801</v>
      </c>
      <c r="E100" s="38" t="n">
        <f aca="false">Modelo_SIRD!K101</f>
        <v>47203.1937733442</v>
      </c>
      <c r="F100" s="34" t="n">
        <f aca="false">IF(E100&lt;=0,"",MIN(1,D100/E100))</f>
        <v>0.800814457206207</v>
      </c>
      <c r="G100" s="40" t="n">
        <f aca="false">Datos_OWID!G99</f>
        <v>0.0871428571428571</v>
      </c>
      <c r="H100" s="38" t="n">
        <f aca="false">Datos_OWID!F99</f>
        <v>332022</v>
      </c>
    </row>
    <row r="101" customFormat="false" ht="15" hidden="false" customHeight="false" outlineLevel="0" collapsed="false">
      <c r="B101" s="31" t="n">
        <f aca="false">Datos_OWID!B100</f>
        <v>95</v>
      </c>
      <c r="C101" s="32" t="n">
        <f aca="false">Datos_OWID!C100</f>
        <v>44556</v>
      </c>
      <c r="D101" s="38" t="n">
        <f aca="false">Datos_OWID!D100</f>
        <v>86790</v>
      </c>
      <c r="E101" s="38" t="n">
        <f aca="false">Modelo_SIRD!K102</f>
        <v>49413.3480662257</v>
      </c>
      <c r="F101" s="34" t="n">
        <f aca="false">IF(E101&lt;=0,"",MIN(1,D101/E101))</f>
        <v>1</v>
      </c>
      <c r="G101" s="40" t="n">
        <f aca="false">Datos_OWID!G100</f>
        <v>0.152857142857143</v>
      </c>
      <c r="H101" s="38" t="n">
        <f aca="false">Datos_OWID!F100</f>
        <v>448779</v>
      </c>
    </row>
    <row r="102" customFormat="false" ht="15" hidden="false" customHeight="false" outlineLevel="0" collapsed="false">
      <c r="B102" s="31" t="n">
        <f aca="false">Datos_OWID!B101</f>
        <v>96</v>
      </c>
      <c r="C102" s="32" t="n">
        <f aca="false">Datos_OWID!C101</f>
        <v>44563</v>
      </c>
      <c r="D102" s="38" t="n">
        <f aca="false">Datos_OWID!D101</f>
        <v>262012</v>
      </c>
      <c r="E102" s="38" t="n">
        <f aca="false">Modelo_SIRD!K103</f>
        <v>51657.6021365486</v>
      </c>
      <c r="F102" s="34" t="n">
        <f aca="false">IF(E102&lt;=0,"",MIN(1,D102/E102))</f>
        <v>1</v>
      </c>
      <c r="G102" s="40" t="n">
        <f aca="false">Datos_OWID!G101</f>
        <v>0.294285714285714</v>
      </c>
      <c r="H102" s="38" t="n">
        <f aca="false">Datos_OWID!F101</f>
        <v>774149</v>
      </c>
    </row>
    <row r="103" customFormat="false" ht="15" hidden="false" customHeight="false" outlineLevel="0" collapsed="false">
      <c r="B103" s="31" t="n">
        <f aca="false">Datos_OWID!B102</f>
        <v>97</v>
      </c>
      <c r="C103" s="32" t="n">
        <f aca="false">Datos_OWID!C102</f>
        <v>44570</v>
      </c>
      <c r="D103" s="38" t="n">
        <f aca="false">Datos_OWID!D102</f>
        <v>647721</v>
      </c>
      <c r="E103" s="38" t="n">
        <f aca="false">Modelo_SIRD!K104</f>
        <v>53927.9889232144</v>
      </c>
      <c r="F103" s="34" t="n">
        <f aca="false">IF(E103&lt;=0,"",MIN(1,D103/E103))</f>
        <v>1</v>
      </c>
      <c r="G103" s="40" t="n">
        <f aca="false">Datos_OWID!G102</f>
        <v>0.48</v>
      </c>
      <c r="H103" s="38" t="n">
        <f aca="false">Datos_OWID!F102</f>
        <v>1236045</v>
      </c>
    </row>
    <row r="104" customFormat="false" ht="15" hidden="false" customHeight="false" outlineLevel="0" collapsed="false">
      <c r="B104" s="31" t="n">
        <f aca="false">Datos_OWID!B103</f>
        <v>98</v>
      </c>
      <c r="C104" s="32" t="n">
        <f aca="false">Datos_OWID!C103</f>
        <v>44577</v>
      </c>
      <c r="D104" s="38" t="n">
        <f aca="false">Datos_OWID!D103</f>
        <v>770687</v>
      </c>
      <c r="E104" s="38" t="n">
        <f aca="false">Modelo_SIRD!K105</f>
        <v>56215.5932309628</v>
      </c>
      <c r="F104" s="34" t="n">
        <f aca="false">IF(E104&lt;=0,"",MIN(1,D104/E104))</f>
        <v>1</v>
      </c>
      <c r="G104" s="40" t="n">
        <f aca="false">Datos_OWID!G103</f>
        <v>0.592857142857143</v>
      </c>
      <c r="H104" s="38" t="n">
        <f aca="false">Datos_OWID!F103</f>
        <v>1463563</v>
      </c>
    </row>
    <row r="105" customFormat="false" ht="15" hidden="false" customHeight="false" outlineLevel="0" collapsed="false">
      <c r="B105" s="31" t="n">
        <f aca="false">Datos_OWID!B104</f>
        <v>99</v>
      </c>
      <c r="C105" s="32" t="n">
        <f aca="false">Datos_OWID!C104</f>
        <v>44584</v>
      </c>
      <c r="D105" s="38" t="n">
        <f aca="false">Datos_OWID!D104</f>
        <v>727782</v>
      </c>
      <c r="E105" s="38" t="n">
        <f aca="false">Modelo_SIRD!K106</f>
        <v>58510.5595500544</v>
      </c>
      <c r="F105" s="34" t="n">
        <f aca="false">IF(E105&lt;=0,"",MIN(1,D105/E105))</f>
        <v>1</v>
      </c>
      <c r="G105" s="40" t="n">
        <f aca="false">Datos_OWID!G104</f>
        <v>0.651428571428572</v>
      </c>
      <c r="H105" s="38" t="n">
        <f aca="false">Datos_OWID!F104</f>
        <v>1148460</v>
      </c>
    </row>
    <row r="106" customFormat="false" ht="15" hidden="false" customHeight="false" outlineLevel="0" collapsed="false">
      <c r="B106" s="31" t="n">
        <f aca="false">Datos_OWID!B105</f>
        <v>100</v>
      </c>
      <c r="C106" s="32" t="n">
        <f aca="false">Datos_OWID!C105</f>
        <v>44591</v>
      </c>
      <c r="D106" s="38" t="n">
        <f aca="false">Datos_OWID!D105</f>
        <v>432304</v>
      </c>
      <c r="E106" s="38" t="n">
        <f aca="false">Modelo_SIRD!K107</f>
        <v>60802.1175431162</v>
      </c>
      <c r="F106" s="34" t="n">
        <f aca="false">IF(E106&lt;=0,"",MIN(1,D106/E106))</f>
        <v>1</v>
      </c>
      <c r="G106" s="40" t="n">
        <f aca="false">Datos_OWID!G105</f>
        <v>0.552857142857143</v>
      </c>
      <c r="H106" s="38" t="n">
        <f aca="false">Datos_OWID!F105</f>
        <v>820210</v>
      </c>
    </row>
    <row r="107" customFormat="false" ht="15" hidden="false" customHeight="false" outlineLevel="0" collapsed="false">
      <c r="B107" s="31" t="n">
        <f aca="false">Datos_OWID!B106</f>
        <v>101</v>
      </c>
      <c r="C107" s="32" t="n">
        <f aca="false">Datos_OWID!C106</f>
        <v>44598</v>
      </c>
      <c r="D107" s="38" t="n">
        <f aca="false">Datos_OWID!D106</f>
        <v>226829</v>
      </c>
      <c r="E107" s="38" t="n">
        <f aca="false">Modelo_SIRD!K108</f>
        <v>63078.6271134466</v>
      </c>
      <c r="F107" s="34" t="n">
        <f aca="false">IF(E107&lt;=0,"",MIN(1,D107/E107))</f>
        <v>1</v>
      </c>
      <c r="G107" s="40" t="n">
        <f aca="false">Datos_OWID!G106</f>
        <v>0.404285714285714</v>
      </c>
      <c r="H107" s="38" t="n">
        <f aca="false">Datos_OWID!F106</f>
        <v>503652</v>
      </c>
    </row>
    <row r="108" customFormat="false" ht="15" hidden="false" customHeight="false" outlineLevel="0" collapsed="false">
      <c r="B108" s="31" t="n">
        <f aca="false">Datos_OWID!B107</f>
        <v>102</v>
      </c>
      <c r="C108" s="32" t="n">
        <f aca="false">Datos_OWID!C107</f>
        <v>44605</v>
      </c>
      <c r="D108" s="38" t="n">
        <f aca="false">Datos_OWID!D107</f>
        <v>124665</v>
      </c>
      <c r="E108" s="38" t="n">
        <f aca="false">Modelo_SIRD!K109</f>
        <v>65327.6446621046</v>
      </c>
      <c r="F108" s="34" t="n">
        <f aca="false">IF(E108&lt;=0,"",MIN(1,D108/E108))</f>
        <v>1</v>
      </c>
      <c r="G108" s="40" t="n">
        <f aca="false">Datos_OWID!G107</f>
        <v>0.278571428571429</v>
      </c>
      <c r="H108" s="38" t="n">
        <f aca="false">Datos_OWID!F107</f>
        <v>331358</v>
      </c>
    </row>
    <row r="109" customFormat="false" ht="15" hidden="false" customHeight="false" outlineLevel="0" collapsed="false">
      <c r="B109" s="31" t="n">
        <f aca="false">Datos_OWID!B108</f>
        <v>103</v>
      </c>
      <c r="C109" s="32" t="n">
        <f aca="false">Datos_OWID!C108</f>
        <v>44612</v>
      </c>
      <c r="D109" s="38" t="n">
        <f aca="false">Datos_OWID!D108</f>
        <v>83236</v>
      </c>
      <c r="E109" s="38" t="n">
        <f aca="false">Modelo_SIRD!K110</f>
        <v>67536.0117159933</v>
      </c>
      <c r="F109" s="34" t="n">
        <f aca="false">IF(E109&lt;=0,"",MIN(1,D109/E109))</f>
        <v>1</v>
      </c>
      <c r="G109" s="40" t="n">
        <f aca="false">Datos_OWID!G108</f>
        <v>0.175714285714286</v>
      </c>
      <c r="H109" s="38" t="n">
        <f aca="false">Datos_OWID!F108</f>
        <v>290827</v>
      </c>
    </row>
    <row r="110" customFormat="false" ht="15" hidden="false" customHeight="false" outlineLevel="0" collapsed="false">
      <c r="B110" s="31" t="n">
        <f aca="false">Datos_OWID!B109</f>
        <v>104</v>
      </c>
      <c r="C110" s="32" t="n">
        <f aca="false">Datos_OWID!C109</f>
        <v>44619</v>
      </c>
      <c r="D110" s="38" t="n">
        <f aca="false">Datos_OWID!D109</f>
        <v>64211</v>
      </c>
      <c r="E110" s="38" t="n">
        <f aca="false">Modelo_SIRD!K111</f>
        <v>69689.9665650167</v>
      </c>
      <c r="F110" s="34" t="n">
        <f aca="false">IF(E110&lt;=0,"",MIN(1,D110/E110))</f>
        <v>0.921380840957857</v>
      </c>
      <c r="G110" s="40" t="n">
        <f aca="false">Datos_OWID!G109</f>
        <v>0.114285714285714</v>
      </c>
      <c r="H110" s="38" t="n">
        <f aca="false">Datos_OWID!F109</f>
        <v>270564</v>
      </c>
    </row>
    <row r="111" customFormat="false" ht="15" hidden="false" customHeight="false" outlineLevel="0" collapsed="false">
      <c r="B111" s="31" t="n">
        <f aca="false">Datos_OWID!B110</f>
        <v>105</v>
      </c>
      <c r="C111" s="32" t="n">
        <f aca="false">Datos_OWID!C110</f>
        <v>44626</v>
      </c>
      <c r="D111" s="38" t="n">
        <f aca="false">Datos_OWID!D110</f>
        <v>36613</v>
      </c>
      <c r="E111" s="38" t="n">
        <f aca="false">Modelo_SIRD!K112</f>
        <v>46075.0254359506</v>
      </c>
      <c r="F111" s="34" t="n">
        <f aca="false">IF(E111&lt;=0,"",MIN(1,D111/E111))</f>
        <v>0.79463873657316</v>
      </c>
      <c r="G111" s="40" t="n">
        <f aca="false">Datos_OWID!G110</f>
        <v>0.0771428571428571</v>
      </c>
      <c r="H111" s="38" t="n">
        <f aca="false">Datos_OWID!F110</f>
        <v>218025</v>
      </c>
    </row>
    <row r="112" customFormat="false" ht="15" hidden="false" customHeight="false" outlineLevel="0" collapsed="false">
      <c r="B112" s="31" t="n">
        <f aca="false">Datos_OWID!B111</f>
        <v>106</v>
      </c>
      <c r="C112" s="32" t="n">
        <f aca="false">Datos_OWID!C111</f>
        <v>44633</v>
      </c>
      <c r="D112" s="38" t="n">
        <f aca="false">Datos_OWID!D111</f>
        <v>31940</v>
      </c>
      <c r="E112" s="38" t="n">
        <f aca="false">Modelo_SIRD!K113</f>
        <v>35372.7525827847</v>
      </c>
      <c r="F112" s="34" t="n">
        <f aca="false">IF(E112&lt;=0,"",MIN(1,D112/E112))</f>
        <v>0.902954892335537</v>
      </c>
      <c r="G112" s="40" t="n">
        <f aca="false">Datos_OWID!G111</f>
        <v>0.0542857142857142</v>
      </c>
      <c r="H112" s="38" t="n">
        <f aca="false">Datos_OWID!F111</f>
        <v>249788</v>
      </c>
    </row>
    <row r="113" customFormat="false" ht="15" hidden="false" customHeight="false" outlineLevel="0" collapsed="false">
      <c r="B113" s="31" t="n">
        <f aca="false">Datos_OWID!B112</f>
        <v>107</v>
      </c>
      <c r="C113" s="32" t="n">
        <f aca="false">Datos_OWID!C112</f>
        <v>44640</v>
      </c>
      <c r="D113" s="38" t="n">
        <f aca="false">Datos_OWID!D112</f>
        <v>34029</v>
      </c>
      <c r="E113" s="38" t="n">
        <f aca="false">Modelo_SIRD!K114</f>
        <v>27138.2992546931</v>
      </c>
      <c r="F113" s="34" t="n">
        <f aca="false">IF(E113&lt;=0,"",MIN(1,D113/E113))</f>
        <v>1</v>
      </c>
      <c r="G113" s="40" t="n">
        <f aca="false">Datos_OWID!G112</f>
        <v>0.0428571428571428</v>
      </c>
      <c r="H113" s="38" t="n">
        <f aca="false">Datos_OWID!F112</f>
        <v>230764</v>
      </c>
    </row>
    <row r="114" customFormat="false" ht="15" hidden="false" customHeight="false" outlineLevel="0" collapsed="false">
      <c r="B114" s="31" t="n">
        <f aca="false">Datos_OWID!B113</f>
        <v>108</v>
      </c>
      <c r="C114" s="32" t="n">
        <f aca="false">Datos_OWID!C113</f>
        <v>44647</v>
      </c>
      <c r="D114" s="38" t="n">
        <f aca="false">Datos_OWID!D113</f>
        <v>15927</v>
      </c>
      <c r="E114" s="38" t="n">
        <f aca="false">Modelo_SIRD!K115</f>
        <v>20810.1148331054</v>
      </c>
      <c r="F114" s="34" t="n">
        <f aca="false">IF(E114&lt;=0,"",MIN(1,D114/E114))</f>
        <v>0.765348972253764</v>
      </c>
      <c r="G114" s="40" t="n">
        <f aca="false">Datos_OWID!G113</f>
        <v>0.04</v>
      </c>
      <c r="H114" s="38" t="n">
        <f aca="false">Datos_OWID!F113</f>
        <v>182756</v>
      </c>
    </row>
    <row r="115" customFormat="false" ht="15" hidden="false" customHeight="false" outlineLevel="0" collapsed="false">
      <c r="B115" s="31" t="n">
        <f aca="false">Datos_OWID!B114</f>
        <v>109</v>
      </c>
      <c r="C115" s="32" t="n">
        <f aca="false">Datos_OWID!C114</f>
        <v>44654</v>
      </c>
      <c r="D115" s="38" t="n">
        <f aca="false">Datos_OWID!D114</f>
        <v>12994</v>
      </c>
      <c r="E115" s="38" t="n">
        <f aca="false">Modelo_SIRD!K116</f>
        <v>15951.306672547</v>
      </c>
      <c r="F115" s="34" t="n">
        <f aca="false">IF(E115&lt;=0,"",MIN(1,D115/E115))</f>
        <v>0.814604111546756</v>
      </c>
      <c r="G115" s="40" t="n">
        <f aca="false">Datos_OWID!G114</f>
        <v>0.04</v>
      </c>
      <c r="H115" s="38" t="n">
        <f aca="false">Datos_OWID!F114</f>
        <v>153794</v>
      </c>
    </row>
    <row r="116" customFormat="false" ht="15" hidden="false" customHeight="false" outlineLevel="0" collapsed="false">
      <c r="B116" s="31" t="n">
        <f aca="false">Datos_OWID!B115</f>
        <v>110</v>
      </c>
      <c r="C116" s="32" t="n">
        <f aca="false">Datos_OWID!C115</f>
        <v>44661</v>
      </c>
      <c r="D116" s="38" t="n">
        <f aca="false">Datos_OWID!D115</f>
        <v>9837</v>
      </c>
      <c r="E116" s="38" t="n">
        <f aca="false">Modelo_SIRD!K117</f>
        <v>12223.2800865918</v>
      </c>
      <c r="F116" s="34" t="n">
        <f aca="false">IF(E116&lt;=0,"",MIN(1,D116/E116))</f>
        <v>0.804775799156444</v>
      </c>
      <c r="G116" s="40" t="n">
        <f aca="false">Datos_OWID!G115</f>
        <v>0.04</v>
      </c>
      <c r="H116" s="38" t="n">
        <f aca="false">Datos_OWID!F115</f>
        <v>129302</v>
      </c>
    </row>
    <row r="117" customFormat="false" ht="15" hidden="false" customHeight="false" outlineLevel="0" collapsed="false">
      <c r="B117" s="31" t="n">
        <f aca="false">Datos_OWID!B116</f>
        <v>111</v>
      </c>
      <c r="C117" s="32" t="n">
        <f aca="false">Datos_OWID!C116</f>
        <v>44668</v>
      </c>
      <c r="D117" s="38" t="n">
        <f aca="false">Datos_OWID!D116</f>
        <v>6695</v>
      </c>
      <c r="E117" s="38" t="n">
        <f aca="false">Modelo_SIRD!K118</f>
        <v>9364.3893436864</v>
      </c>
      <c r="F117" s="34" t="n">
        <f aca="false">IF(E117&lt;=0,"",MIN(1,D117/E117))</f>
        <v>0.714942507651485</v>
      </c>
      <c r="G117" s="40" t="n">
        <f aca="false">Datos_OWID!G116</f>
        <v>0.0528571428571428</v>
      </c>
      <c r="H117" s="38" t="n">
        <f aca="false">Datos_OWID!F116</f>
        <v>98023</v>
      </c>
    </row>
    <row r="118" customFormat="false" ht="15" hidden="false" customHeight="false" outlineLevel="0" collapsed="false">
      <c r="B118" s="31" t="n">
        <f aca="false">Datos_OWID!B117</f>
        <v>112</v>
      </c>
      <c r="C118" s="32" t="n">
        <f aca="false">Datos_OWID!C117</f>
        <v>44675</v>
      </c>
      <c r="D118" s="38" t="n">
        <f aca="false">Datos_OWID!D117</f>
        <v>24832</v>
      </c>
      <c r="E118" s="38" t="n">
        <f aca="false">Modelo_SIRD!K119</f>
        <v>7172.89916794002</v>
      </c>
      <c r="F118" s="34" t="n">
        <f aca="false">IF(E118&lt;=0,"",MIN(1,D118/E118))</f>
        <v>1</v>
      </c>
      <c r="G118" s="40" t="n">
        <f aca="false">Datos_OWID!G117</f>
        <v>0.0671428571428571</v>
      </c>
      <c r="H118" s="38" t="n">
        <f aca="false">Datos_OWID!F117</f>
        <v>80236</v>
      </c>
    </row>
    <row r="119" customFormat="false" ht="15" hidden="false" customHeight="false" outlineLevel="0" collapsed="false">
      <c r="B119" s="31" t="n">
        <f aca="false">Datos_OWID!B118</f>
        <v>113</v>
      </c>
      <c r="C119" s="32" t="n">
        <f aca="false">Datos_OWID!C118</f>
        <v>44682</v>
      </c>
      <c r="D119" s="38" t="n">
        <f aca="false">Datos_OWID!D118</f>
        <v>11443</v>
      </c>
      <c r="E119" s="38" t="n">
        <f aca="false">Modelo_SIRD!K120</f>
        <v>5493.5294338353</v>
      </c>
      <c r="F119" s="34" t="n">
        <f aca="false">IF(E119&lt;=0,"",MIN(1,D119/E119))</f>
        <v>1</v>
      </c>
      <c r="G119" s="40" t="n">
        <f aca="false">Datos_OWID!G118</f>
        <v>0.0885714285714285</v>
      </c>
      <c r="H119" s="38" t="n">
        <f aca="false">Datos_OWID!F118</f>
        <v>78308</v>
      </c>
    </row>
    <row r="120" customFormat="false" ht="15" hidden="false" customHeight="false" outlineLevel="0" collapsed="false">
      <c r="B120" s="31" t="n">
        <f aca="false">Datos_OWID!B119</f>
        <v>114</v>
      </c>
      <c r="C120" s="32" t="n">
        <f aca="false">Datos_OWID!C119</f>
        <v>44689</v>
      </c>
      <c r="D120" s="38" t="n">
        <f aca="false">Datos_OWID!D119</f>
        <v>17646</v>
      </c>
      <c r="E120" s="38" t="n">
        <f aca="false">Modelo_SIRD!K121</f>
        <v>4206.9113858901</v>
      </c>
      <c r="F120" s="34" t="n">
        <f aca="false">IF(E120&lt;=0,"",MIN(1,D120/E120))</f>
        <v>1</v>
      </c>
      <c r="G120" s="40" t="n">
        <f aca="false">Datos_OWID!G119</f>
        <v>0.154285714285714</v>
      </c>
      <c r="H120" s="38" t="n">
        <f aca="false">Datos_OWID!F119</f>
        <v>79660</v>
      </c>
    </row>
    <row r="121" customFormat="false" ht="15" hidden="false" customHeight="false" outlineLevel="0" collapsed="false">
      <c r="B121" s="31" t="n">
        <f aca="false">Datos_OWID!B120</f>
        <v>115</v>
      </c>
      <c r="C121" s="32" t="n">
        <f aca="false">Datos_OWID!C120</f>
        <v>44696</v>
      </c>
      <c r="D121" s="38" t="n">
        <f aca="false">Datos_OWID!D120</f>
        <v>33989</v>
      </c>
      <c r="E121" s="38" t="n">
        <f aca="false">Modelo_SIRD!K122</f>
        <v>3221.37254645303</v>
      </c>
      <c r="F121" s="34" t="n">
        <f aca="false">IF(E121&lt;=0,"",MIN(1,D121/E121))</f>
        <v>1</v>
      </c>
      <c r="G121" s="40" t="n">
        <f aca="false">Datos_OWID!G120</f>
        <v>0.242857142857143</v>
      </c>
      <c r="H121" s="38" t="n">
        <f aca="false">Datos_OWID!F120</f>
        <v>110355</v>
      </c>
    </row>
    <row r="122" customFormat="false" ht="15" hidden="false" customHeight="false" outlineLevel="0" collapsed="false">
      <c r="B122" s="31" t="n">
        <f aca="false">Datos_OWID!B121</f>
        <v>116</v>
      </c>
      <c r="C122" s="32" t="n">
        <f aca="false">Datos_OWID!C121</f>
        <v>44703</v>
      </c>
      <c r="D122" s="38" t="n">
        <f aca="false">Datos_OWID!D121</f>
        <v>43487</v>
      </c>
      <c r="E122" s="38" t="n">
        <f aca="false">Modelo_SIRD!K123</f>
        <v>2466.56330041587</v>
      </c>
      <c r="F122" s="34" t="n">
        <f aca="false">IF(E122&lt;=0,"",MIN(1,D122/E122))</f>
        <v>1</v>
      </c>
      <c r="G122" s="40" t="n">
        <f aca="false">Datos_OWID!G121</f>
        <v>0.285714285714286</v>
      </c>
      <c r="H122" s="38" t="n">
        <f aca="false">Datos_OWID!F121</f>
        <v>125174</v>
      </c>
    </row>
    <row r="123" customFormat="false" ht="15" hidden="false" customHeight="false" outlineLevel="0" collapsed="false">
      <c r="B123" s="31" t="n">
        <f aca="false">Datos_OWID!B122</f>
        <v>117</v>
      </c>
      <c r="C123" s="32" t="n">
        <f aca="false">Datos_OWID!C122</f>
        <v>44710</v>
      </c>
      <c r="D123" s="38" t="n">
        <f aca="false">Datos_OWID!D122</f>
        <v>51778</v>
      </c>
      <c r="E123" s="38" t="n">
        <f aca="false">Modelo_SIRD!K124</f>
        <v>1888.52813602611</v>
      </c>
      <c r="F123" s="34" t="n">
        <f aca="false">IF(E123&lt;=0,"",MIN(1,D123/E123))</f>
        <v>1</v>
      </c>
      <c r="G123" s="40" t="n">
        <f aca="false">Datos_OWID!G122</f>
        <v>0.3</v>
      </c>
      <c r="H123" s="38" t="n">
        <f aca="false">Datos_OWID!F122</f>
        <v>143568</v>
      </c>
    </row>
    <row r="124" customFormat="false" ht="15" hidden="false" customHeight="false" outlineLevel="0" collapsed="false">
      <c r="B124" s="31" t="n">
        <f aca="false">Datos_OWID!B123</f>
        <v>118</v>
      </c>
      <c r="C124" s="32" t="n">
        <f aca="false">Datos_OWID!C123</f>
        <v>44717</v>
      </c>
      <c r="D124" s="38" t="n">
        <f aca="false">Datos_OWID!D123</f>
        <v>0</v>
      </c>
      <c r="E124" s="38" t="n">
        <f aca="false">Modelo_SIRD!K125</f>
        <v>1445.90330700204</v>
      </c>
      <c r="F124" s="34" t="n">
        <f aca="false">IF(E124&lt;=0,"",MIN(1,D124/E124))</f>
        <v>0</v>
      </c>
      <c r="G124" s="40" t="n">
        <f aca="false">Datos_OWID!G123</f>
        <v>0.29</v>
      </c>
      <c r="H124" s="38" t="n">
        <f aca="false">Datos_OWID!F123</f>
        <v>259775.833333333</v>
      </c>
    </row>
    <row r="126" customFormat="false" ht="15" hidden="false" customHeight="false" outlineLevel="0" collapsed="false">
      <c r="B126" s="18" t="s">
        <v>153</v>
      </c>
    </row>
    <row r="127" customFormat="false" ht="15" hidden="false" customHeight="false" outlineLevel="0" collapsed="false">
      <c r="B127" s="8" t="s">
        <v>154</v>
      </c>
    </row>
    <row r="128" customFormat="false" ht="23.85" hidden="false" customHeight="false" outlineLevel="0" collapsed="false">
      <c r="B128" s="21" t="s">
        <v>155</v>
      </c>
      <c r="C128" s="21" t="s">
        <v>156</v>
      </c>
      <c r="D128" s="21" t="s">
        <v>157</v>
      </c>
      <c r="E128" s="21" t="s">
        <v>158</v>
      </c>
      <c r="F128" s="21" t="s">
        <v>159</v>
      </c>
      <c r="G128" s="21" t="s">
        <v>160</v>
      </c>
    </row>
    <row r="129" customFormat="false" ht="15" hidden="false" customHeight="false" outlineLevel="0" collapsed="false">
      <c r="B129" s="2" t="s">
        <v>161</v>
      </c>
      <c r="C129" s="41" t="n">
        <v>1</v>
      </c>
      <c r="D129" s="41" t="n">
        <v>17</v>
      </c>
      <c r="E129" s="16" t="n">
        <f aca="false">AVERAGEIFS($F$7:$F$124,$B$7:$B$124,"&gt;="&amp;C129,$B$7:$B$124,"&lt;="&amp;D129)</f>
        <v>0.252744640672391</v>
      </c>
      <c r="F129" s="16" t="n">
        <f aca="false">AVERAGEIFS($G$7:$G$124,$B$7:$B$124,"&gt;="&amp;C129,$B$7:$B$124,"&lt;="&amp;D129)</f>
        <v>0.151708683473389</v>
      </c>
      <c r="G129" s="15" t="n">
        <f aca="false">AVERAGEIFS($H$7:$H$124,$B$7:$B$124,"&gt;="&amp;C129,$B$7:$B$124,"&lt;="&amp;D129)</f>
        <v>23563.3823529412</v>
      </c>
    </row>
    <row r="130" customFormat="false" ht="15" hidden="false" customHeight="false" outlineLevel="0" collapsed="false">
      <c r="B130" s="2" t="s">
        <v>162</v>
      </c>
      <c r="C130" s="41" t="n">
        <v>18</v>
      </c>
      <c r="D130" s="41" t="n">
        <v>43</v>
      </c>
      <c r="E130" s="16" t="n">
        <f aca="false">AVERAGEIFS($F$7:$F$124,$B$7:$B$124,"&gt;="&amp;C130,$B$7:$B$124,"&lt;="&amp;D130)</f>
        <v>0.255663343223976</v>
      </c>
      <c r="F130" s="16" t="n">
        <f aca="false">AVERAGEIFS($G$7:$G$124,$B$7:$B$124,"&gt;="&amp;C130,$B$7:$B$124,"&lt;="&amp;D130)</f>
        <v>0.318076923076923</v>
      </c>
      <c r="G130" s="15" t="n">
        <f aca="false">AVERAGEIFS($H$7:$H$124,$B$7:$B$124,"&gt;="&amp;C130,$B$7:$B$124,"&lt;="&amp;D130)</f>
        <v>171943</v>
      </c>
    </row>
    <row r="131" customFormat="false" ht="15" hidden="false" customHeight="false" outlineLevel="0" collapsed="false">
      <c r="B131" s="2" t="s">
        <v>163</v>
      </c>
      <c r="C131" s="41" t="n">
        <v>44</v>
      </c>
      <c r="D131" s="41" t="n">
        <v>69</v>
      </c>
      <c r="E131" s="16" t="n">
        <f aca="false">AVERAGEIFS($F$7:$F$124,$B$7:$B$124,"&gt;="&amp;C131,$B$7:$B$124,"&lt;="&amp;D131)</f>
        <v>0.433756348119137</v>
      </c>
      <c r="F131" s="16" t="n">
        <f aca="false">AVERAGEIFS($G$7:$G$124,$B$7:$B$124,"&gt;="&amp;C131,$B$7:$B$124,"&lt;="&amp;D131)</f>
        <v>0.203351648351648</v>
      </c>
      <c r="G131" s="15" t="n">
        <f aca="false">AVERAGEIFS($H$7:$H$124,$B$7:$B$124,"&gt;="&amp;C131,$B$7:$B$124,"&lt;="&amp;D131)</f>
        <v>452234.423076923</v>
      </c>
    </row>
    <row r="132" customFormat="false" ht="15" hidden="false" customHeight="false" outlineLevel="0" collapsed="false">
      <c r="B132" s="2" t="s">
        <v>164</v>
      </c>
      <c r="C132" s="41" t="n">
        <v>70</v>
      </c>
      <c r="D132" s="41" t="n">
        <v>95</v>
      </c>
      <c r="E132" s="16" t="n">
        <f aca="false">AVERAGEIFS($F$7:$F$124,$B$7:$B$124,"&gt;="&amp;C132,$B$7:$B$124,"&lt;="&amp;D132)</f>
        <v>0.423571673904416</v>
      </c>
      <c r="F132" s="16" t="n">
        <f aca="false">AVERAGEIFS($G$7:$G$124,$B$7:$B$124,"&gt;="&amp;C132,$B$7:$B$124,"&lt;="&amp;D132)</f>
        <v>0.075989010989011</v>
      </c>
      <c r="G132" s="15" t="n">
        <f aca="false">AVERAGEIFS($H$7:$H$124,$B$7:$B$124,"&gt;="&amp;C132,$B$7:$B$124,"&lt;="&amp;D132)</f>
        <v>423923.923076923</v>
      </c>
    </row>
    <row r="133" customFormat="false" ht="15" hidden="false" customHeight="false" outlineLevel="0" collapsed="false">
      <c r="B133" s="2" t="s">
        <v>165</v>
      </c>
      <c r="C133" s="41" t="n">
        <v>96</v>
      </c>
      <c r="D133" s="41" t="n">
        <v>118</v>
      </c>
      <c r="E133" s="16" t="n">
        <f aca="false">AVERAGEIFS($F$7:$F$124,$B$7:$B$124,"&gt;="&amp;C133,$B$7:$B$124,"&lt;="&amp;D133)</f>
        <v>0.90081068958587</v>
      </c>
      <c r="F133" s="16" t="n">
        <f aca="false">AVERAGEIFS($G$7:$G$124,$B$7:$B$124,"&gt;="&amp;C133,$B$7:$B$124,"&lt;="&amp;D133)</f>
        <v>0.231304347826087</v>
      </c>
      <c r="G133" s="15" t="n">
        <f aca="false">AVERAGEIFS($H$7:$H$124,$B$7:$B$124,"&gt;="&amp;C133,$B$7:$B$124,"&lt;="&amp;D133)</f>
        <v>390363.34057971</v>
      </c>
    </row>
    <row r="135" customFormat="false" ht="15" hidden="false" customHeight="false" outlineLevel="0" collapsed="false">
      <c r="B135" s="18" t="s">
        <v>166</v>
      </c>
    </row>
    <row r="136" customFormat="false" ht="15" hidden="false" customHeight="false" outlineLevel="0" collapsed="false">
      <c r="B136" s="8" t="s">
        <v>167</v>
      </c>
    </row>
    <row r="137" customFormat="false" ht="15" hidden="false" customHeight="false" outlineLevel="0" collapsed="false">
      <c r="B137" s="2" t="s">
        <v>168</v>
      </c>
      <c r="E137" s="16" t="n">
        <f aca="false">E129</f>
        <v>0.252744640672391</v>
      </c>
    </row>
    <row r="138" customFormat="false" ht="15" hidden="false" customHeight="false" outlineLevel="0" collapsed="false">
      <c r="B138" s="2" t="s">
        <v>169</v>
      </c>
      <c r="E138" s="15" t="n">
        <f aca="false">SUMIF($B$7:$B$124,"&gt;17",$E$7:$E$124)</f>
        <v>17669966.1285933</v>
      </c>
    </row>
    <row r="139" customFormat="false" ht="15" hidden="false" customHeight="false" outlineLevel="0" collapsed="false">
      <c r="B139" s="2" t="s">
        <v>170</v>
      </c>
      <c r="E139" s="15" t="n">
        <f aca="false">Deteccion!$E$138*Deteccion!$E$137</f>
        <v>4465989.23986464</v>
      </c>
    </row>
    <row r="140" customFormat="false" ht="15" hidden="false" customHeight="false" outlineLevel="0" collapsed="false">
      <c r="B140" s="2" t="s">
        <v>171</v>
      </c>
      <c r="E140" s="15" t="n">
        <f aca="false">SUMIF($B$7:$B$124,"&gt;17",$D$7:$D$124)</f>
        <v>9157128</v>
      </c>
    </row>
    <row r="141" customFormat="false" ht="15" hidden="false" customHeight="false" outlineLevel="0" collapsed="false">
      <c r="B141" s="42" t="s">
        <v>172</v>
      </c>
      <c r="E141" s="43" t="n">
        <f aca="false">MAX(0,Deteccion!$E$140-Deteccion!$E$139)</f>
        <v>4691138.76013536</v>
      </c>
    </row>
    <row r="143" customFormat="false" ht="15" hidden="false" customHeight="false" outlineLevel="0" collapsed="false">
      <c r="B143" s="8" t="s">
        <v>173</v>
      </c>
    </row>
    <row r="144" customFormat="false" ht="15" hidden="false" customHeight="false" outlineLevel="0" collapsed="false">
      <c r="B144" s="8" t="s">
        <v>174</v>
      </c>
    </row>
    <row r="145" customFormat="false" ht="15" hidden="false" customHeight="false" outlineLevel="0" collapsed="false">
      <c r="B145" s="8" t="s">
        <v>175</v>
      </c>
    </row>
    <row r="147" customFormat="false" ht="15" hidden="false" customHeight="false" outlineLevel="0" collapsed="false">
      <c r="B147" s="18" t="s">
        <v>176</v>
      </c>
    </row>
    <row r="148" customFormat="false" ht="15" hidden="false" customHeight="false" outlineLevel="0" collapsed="false">
      <c r="B148" s="8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6" min="3" style="0" width="16"/>
    <col collapsed="false" customWidth="true" hidden="false" outlineLevel="0" max="7" min="7" style="0" width="60"/>
  </cols>
  <sheetData>
    <row r="2" customFormat="false" ht="17.35" hidden="false" customHeight="false" outlineLevel="0" collapsed="false">
      <c r="B2" s="1" t="s">
        <v>178</v>
      </c>
    </row>
    <row r="4" customFormat="false" ht="15" hidden="false" customHeight="false" outlineLevel="0" collapsed="false">
      <c r="B4" s="18" t="s">
        <v>179</v>
      </c>
    </row>
    <row r="5" customFormat="false" ht="15" hidden="false" customHeight="false" outlineLevel="0" collapsed="false">
      <c r="B5" s="8" t="s">
        <v>180</v>
      </c>
    </row>
    <row r="7" customFormat="false" ht="15" hidden="false" customHeight="false" outlineLevel="0" collapsed="false">
      <c r="B7" s="21" t="s">
        <v>128</v>
      </c>
      <c r="C7" s="21" t="s">
        <v>181</v>
      </c>
      <c r="D7" s="21" t="s">
        <v>182</v>
      </c>
      <c r="E7" s="21" t="s">
        <v>183</v>
      </c>
      <c r="F7" s="21" t="s">
        <v>184</v>
      </c>
      <c r="G7" s="21" t="s">
        <v>185</v>
      </c>
    </row>
    <row r="8" customFormat="false" ht="15" hidden="false" customHeight="false" outlineLevel="0" collapsed="false">
      <c r="B8" s="31" t="n">
        <f aca="false">Datos_OWID!B6</f>
        <v>1</v>
      </c>
      <c r="C8" s="38" t="n">
        <f aca="false">Datos_OWID!E6</f>
        <v>1</v>
      </c>
      <c r="D8" s="38" t="n">
        <f aca="false">Modelo_SIRD!M8</f>
        <v>0</v>
      </c>
      <c r="E8" s="44" t="n">
        <f aca="false">LN(C8+1)</f>
        <v>0.693147180559945</v>
      </c>
      <c r="F8" s="44" t="n">
        <f aca="false">LN(D8+1)</f>
        <v>0</v>
      </c>
      <c r="G8" s="33" t="n">
        <f aca="false">(E8-F8)^2</f>
        <v>0.480453013918201</v>
      </c>
    </row>
    <row r="9" customFormat="false" ht="15" hidden="false" customHeight="false" outlineLevel="0" collapsed="false">
      <c r="B9" s="31" t="n">
        <f aca="false">Datos_OWID!B7</f>
        <v>2</v>
      </c>
      <c r="C9" s="38" t="n">
        <f aca="false">Datos_OWID!E7</f>
        <v>8</v>
      </c>
      <c r="D9" s="38" t="n">
        <f aca="false">Modelo_SIRD!M9</f>
        <v>0</v>
      </c>
      <c r="E9" s="44" t="n">
        <f aca="false">LN(C9+1)</f>
        <v>2.19722457733622</v>
      </c>
      <c r="F9" s="44" t="n">
        <f aca="false">LN(D9+1)</f>
        <v>0</v>
      </c>
      <c r="G9" s="33" t="n">
        <f aca="false">(E9-F9)^2</f>
        <v>4.82779584325033</v>
      </c>
    </row>
    <row r="10" customFormat="false" ht="15" hidden="false" customHeight="false" outlineLevel="0" collapsed="false">
      <c r="B10" s="31" t="n">
        <f aca="false">Datos_OWID!B8</f>
        <v>3</v>
      </c>
      <c r="C10" s="38" t="n">
        <f aca="false">Datos_OWID!E8</f>
        <v>11</v>
      </c>
      <c r="D10" s="38" t="n">
        <f aca="false">Modelo_SIRD!M10</f>
        <v>0</v>
      </c>
      <c r="E10" s="44" t="n">
        <f aca="false">LN(C10+1)</f>
        <v>2.484906649788</v>
      </c>
      <c r="F10" s="44" t="n">
        <f aca="false">LN(D10+1)</f>
        <v>0</v>
      </c>
      <c r="G10" s="33" t="n">
        <f aca="false">(E10-F10)^2</f>
        <v>6.17476105816062</v>
      </c>
    </row>
    <row r="11" customFormat="false" ht="15" hidden="false" customHeight="false" outlineLevel="0" collapsed="false">
      <c r="B11" s="31" t="n">
        <f aca="false">Datos_OWID!B9</f>
        <v>4</v>
      </c>
      <c r="C11" s="38" t="n">
        <f aca="false">Datos_OWID!E9</f>
        <v>50</v>
      </c>
      <c r="D11" s="38" t="n">
        <f aca="false">Modelo_SIRD!M11</f>
        <v>0</v>
      </c>
      <c r="E11" s="44" t="n">
        <f aca="false">LN(C11+1)</f>
        <v>3.93182563272433</v>
      </c>
      <c r="F11" s="44" t="n">
        <f aca="false">LN(D11+1)</f>
        <v>0</v>
      </c>
      <c r="G11" s="33" t="n">
        <f aca="false">(E11-F11)^2</f>
        <v>15.459252806148</v>
      </c>
    </row>
    <row r="12" customFormat="false" ht="15" hidden="false" customHeight="false" outlineLevel="0" collapsed="false">
      <c r="B12" s="31" t="n">
        <f aca="false">Datos_OWID!B10</f>
        <v>5</v>
      </c>
      <c r="C12" s="38" t="n">
        <f aca="false">Datos_OWID!E10</f>
        <v>61</v>
      </c>
      <c r="D12" s="38" t="n">
        <f aca="false">Modelo_SIRD!M12</f>
        <v>0.42</v>
      </c>
      <c r="E12" s="44" t="n">
        <f aca="false">LN(C12+1)</f>
        <v>4.12713438504509</v>
      </c>
      <c r="F12" s="44" t="n">
        <f aca="false">LN(D12+1)</f>
        <v>0.350656871613169</v>
      </c>
      <c r="G12" s="33" t="n">
        <f aca="false">(E12-F12)^2</f>
        <v>14.261782409457</v>
      </c>
    </row>
    <row r="13" customFormat="false" ht="15" hidden="false" customHeight="false" outlineLevel="0" collapsed="false">
      <c r="B13" s="31" t="n">
        <f aca="false">Datos_OWID!B11</f>
        <v>6</v>
      </c>
      <c r="C13" s="38" t="n">
        <f aca="false">Datos_OWID!E11</f>
        <v>74</v>
      </c>
      <c r="D13" s="38" t="n">
        <f aca="false">Modelo_SIRD!M13</f>
        <v>0.965998154264953</v>
      </c>
      <c r="E13" s="44" t="n">
        <f aca="false">LN(C13+1)</f>
        <v>4.31748811353631</v>
      </c>
      <c r="F13" s="44" t="n">
        <f aca="false">LN(D13+1)</f>
        <v>0.676000082896942</v>
      </c>
      <c r="G13" s="33" t="n">
        <f aca="false">(E13-F13)^2</f>
        <v>13.2604350772898</v>
      </c>
    </row>
    <row r="14" customFormat="false" ht="15" hidden="false" customHeight="false" outlineLevel="0" collapsed="false">
      <c r="B14" s="31" t="n">
        <f aca="false">Datos_OWID!B12</f>
        <v>7</v>
      </c>
      <c r="C14" s="38" t="n">
        <f aca="false">Datos_OWID!E12</f>
        <v>74</v>
      </c>
      <c r="D14" s="38" t="n">
        <f aca="false">Modelo_SIRD!M14</f>
        <v>1.89315261351308</v>
      </c>
      <c r="E14" s="44" t="n">
        <f aca="false">LN(C14+1)</f>
        <v>4.31748811353631</v>
      </c>
      <c r="F14" s="44" t="n">
        <f aca="false">LN(D14+1)</f>
        <v>1.06234677728602</v>
      </c>
      <c r="G14" s="33" t="n">
        <f aca="false">(E14-F14)^2</f>
        <v>10.5959451189653</v>
      </c>
    </row>
    <row r="15" customFormat="false" ht="15" hidden="false" customHeight="false" outlineLevel="0" collapsed="false">
      <c r="B15" s="31" t="n">
        <f aca="false">Datos_OWID!B13</f>
        <v>8</v>
      </c>
      <c r="C15" s="38" t="n">
        <f aca="false">Datos_OWID!E13</f>
        <v>132</v>
      </c>
      <c r="D15" s="38" t="n">
        <f aca="false">Modelo_SIRD!M15</f>
        <v>3.71015342059653</v>
      </c>
      <c r="E15" s="44" t="n">
        <f aca="false">LN(C15+1)</f>
        <v>4.89034912822175</v>
      </c>
      <c r="F15" s="44" t="n">
        <f aca="false">LN(D15+1)</f>
        <v>1.54972048087289</v>
      </c>
      <c r="G15" s="33" t="n">
        <f aca="false">(E15-F15)^2</f>
        <v>11.1597997594879</v>
      </c>
    </row>
    <row r="16" customFormat="false" ht="15" hidden="false" customHeight="false" outlineLevel="0" collapsed="false">
      <c r="B16" s="31" t="n">
        <f aca="false">Datos_OWID!B14</f>
        <v>9</v>
      </c>
      <c r="C16" s="38" t="n">
        <f aca="false">Datos_OWID!E14</f>
        <v>115</v>
      </c>
      <c r="D16" s="38" t="n">
        <f aca="false">Modelo_SIRD!M16</f>
        <v>7.27096519111566</v>
      </c>
      <c r="E16" s="44" t="n">
        <f aca="false">LN(C16+1)</f>
        <v>4.75359019110636</v>
      </c>
      <c r="F16" s="44" t="n">
        <f aca="false">LN(D16+1)</f>
        <v>2.11275121215487</v>
      </c>
      <c r="G16" s="33" t="n">
        <f aca="false">(E16-F16)^2</f>
        <v>6.97403051274958</v>
      </c>
    </row>
    <row r="17" customFormat="false" ht="15" hidden="false" customHeight="false" outlineLevel="0" collapsed="false">
      <c r="B17" s="31" t="n">
        <f aca="false">Datos_OWID!B15</f>
        <v>10</v>
      </c>
      <c r="C17" s="38" t="n">
        <f aca="false">Datos_OWID!E15</f>
        <v>120</v>
      </c>
      <c r="D17" s="38" t="n">
        <f aca="false">Modelo_SIRD!M17</f>
        <v>14.2488696077797</v>
      </c>
      <c r="E17" s="44" t="n">
        <f aca="false">LN(C17+1)</f>
        <v>4.79579054559674</v>
      </c>
      <c r="F17" s="44" t="n">
        <f aca="false">LN(D17+1)</f>
        <v>2.72450537622607</v>
      </c>
      <c r="G17" s="33" t="n">
        <f aca="false">(E17-F17)^2</f>
        <v>4.29022225285487</v>
      </c>
    </row>
    <row r="18" customFormat="false" ht="15" hidden="false" customHeight="false" outlineLevel="0" collapsed="false">
      <c r="B18" s="31" t="n">
        <f aca="false">Datos_OWID!B16</f>
        <v>11</v>
      </c>
      <c r="C18" s="38" t="n">
        <f aca="false">Datos_OWID!E16</f>
        <v>144</v>
      </c>
      <c r="D18" s="38" t="n">
        <f aca="false">Modelo_SIRD!M18</f>
        <v>27.9219365350939</v>
      </c>
      <c r="E18" s="44" t="n">
        <f aca="false">LN(C18+1)</f>
        <v>4.97673374242057</v>
      </c>
      <c r="F18" s="44" t="n">
        <f aca="false">LN(D18+1)</f>
        <v>3.36460035684312</v>
      </c>
      <c r="G18" s="33" t="n">
        <f aca="false">(E18-F18)^2</f>
        <v>2.59897405289344</v>
      </c>
    </row>
    <row r="19" customFormat="false" ht="15" hidden="false" customHeight="false" outlineLevel="0" collapsed="false">
      <c r="B19" s="31" t="n">
        <f aca="false">Datos_OWID!B17</f>
        <v>12</v>
      </c>
      <c r="C19" s="38" t="n">
        <f aca="false">Datos_OWID!E17</f>
        <v>219</v>
      </c>
      <c r="D19" s="38" t="n">
        <f aca="false">Modelo_SIRD!M19</f>
        <v>54.709802587805</v>
      </c>
      <c r="E19" s="44" t="n">
        <f aca="false">LN(C19+1)</f>
        <v>5.39362754635236</v>
      </c>
      <c r="F19" s="44" t="n">
        <f aca="false">LN(D19+1)</f>
        <v>4.02015612045806</v>
      </c>
      <c r="G19" s="33" t="n">
        <f aca="false">(E19-F19)^2</f>
        <v>1.88642375774814</v>
      </c>
    </row>
    <row r="20" customFormat="false" ht="15" hidden="false" customHeight="false" outlineLevel="0" collapsed="false">
      <c r="B20" s="31" t="n">
        <f aca="false">Datos_OWID!B18</f>
        <v>13</v>
      </c>
      <c r="C20" s="38" t="n">
        <f aca="false">Datos_OWID!E18</f>
        <v>297</v>
      </c>
      <c r="D20" s="38" t="n">
        <f aca="false">Modelo_SIRD!M20</f>
        <v>107.175513607047</v>
      </c>
      <c r="E20" s="44" t="n">
        <f aca="false">LN(C20+1)</f>
        <v>5.69709348650541</v>
      </c>
      <c r="F20" s="44" t="n">
        <f aca="false">LN(D20+1)</f>
        <v>4.68375503402708</v>
      </c>
      <c r="G20" s="33" t="n">
        <f aca="false">(E20-F20)^2</f>
        <v>1.02685481927116</v>
      </c>
    </row>
    <row r="21" customFormat="false" ht="15" hidden="false" customHeight="false" outlineLevel="0" collapsed="false">
      <c r="B21" s="31" t="n">
        <f aca="false">Datos_OWID!B19</f>
        <v>14</v>
      </c>
      <c r="C21" s="38" t="n">
        <f aca="false">Datos_OWID!E19</f>
        <v>358</v>
      </c>
      <c r="D21" s="38" t="n">
        <f aca="false">Modelo_SIRD!M21</f>
        <v>209.870423121654</v>
      </c>
      <c r="E21" s="44" t="n">
        <f aca="false">LN(C21+1)</f>
        <v>5.88332238848828</v>
      </c>
      <c r="F21" s="44" t="n">
        <f aca="false">LN(D21+1)</f>
        <v>5.35124383640607</v>
      </c>
      <c r="G21" s="33" t="n">
        <f aca="false">(E21-F21)^2</f>
        <v>0.283107585585898</v>
      </c>
    </row>
    <row r="22" customFormat="false" ht="15" hidden="false" customHeight="false" outlineLevel="0" collapsed="false">
      <c r="B22" s="31" t="n">
        <f aca="false">Datos_OWID!B20</f>
        <v>15</v>
      </c>
      <c r="C22" s="38" t="n">
        <f aca="false">Datos_OWID!E20</f>
        <v>458</v>
      </c>
      <c r="D22" s="38" t="n">
        <f aca="false">Modelo_SIRD!M22</f>
        <v>410.643079319956</v>
      </c>
      <c r="E22" s="44" t="n">
        <f aca="false">LN(C22+1)</f>
        <v>6.12905021006055</v>
      </c>
      <c r="F22" s="44" t="n">
        <f aca="false">LN(D22+1)</f>
        <v>6.02015666155393</v>
      </c>
      <c r="G22" s="33" t="n">
        <f aca="false">(E22-F22)^2</f>
        <v>0.011857804906362</v>
      </c>
    </row>
    <row r="23" customFormat="false" ht="15" hidden="false" customHeight="false" outlineLevel="0" collapsed="false">
      <c r="B23" s="31" t="n">
        <f aca="false">Datos_OWID!B21</f>
        <v>16</v>
      </c>
      <c r="C23" s="38" t="n">
        <f aca="false">Datos_OWID!E21</f>
        <v>602</v>
      </c>
      <c r="D23" s="38" t="n">
        <f aca="false">Modelo_SIRD!M23</f>
        <v>802.245232040601</v>
      </c>
      <c r="E23" s="44" t="n">
        <f aca="false">LN(C23+1)</f>
        <v>6.40191719672719</v>
      </c>
      <c r="F23" s="44" t="n">
        <f aca="false">LN(D23+1)</f>
        <v>6.68866006214343</v>
      </c>
      <c r="G23" s="33" t="n">
        <f aca="false">(E23-F23)^2</f>
        <v>0.0822214708671192</v>
      </c>
    </row>
    <row r="24" customFormat="false" ht="15" hidden="false" customHeight="false" outlineLevel="0" collapsed="false">
      <c r="B24" s="31" t="n">
        <f aca="false">Datos_OWID!B22</f>
        <v>17</v>
      </c>
      <c r="C24" s="38" t="n">
        <f aca="false">Datos_OWID!E22</f>
        <v>776</v>
      </c>
      <c r="D24" s="38" t="n">
        <f aca="false">Modelo_SIRD!M24</f>
        <v>1562.56101256766</v>
      </c>
      <c r="E24" s="44" t="n">
        <f aca="false">LN(C24+1)</f>
        <v>6.65544035036765</v>
      </c>
      <c r="F24" s="44" t="n">
        <f aca="false">LN(D24+1)</f>
        <v>7.35472119920506</v>
      </c>
      <c r="G24" s="33" t="n">
        <f aca="false">(E24-F24)^2</f>
        <v>0.488993705550768</v>
      </c>
    </row>
    <row r="25" customFormat="false" ht="15" hidden="false" customHeight="false" outlineLevel="0" collapsed="false">
      <c r="B25" s="31" t="n">
        <f aca="false">Datos_OWID!B23</f>
        <v>18</v>
      </c>
      <c r="C25" s="38" t="n">
        <f aca="false">Datos_OWID!E23</f>
        <v>903</v>
      </c>
      <c r="D25" s="38" t="n">
        <f aca="false">Modelo_SIRD!M25</f>
        <v>1645.01509712543</v>
      </c>
      <c r="E25" s="44" t="n">
        <f aca="false">LN(C25+1)</f>
        <v>6.80682936039218</v>
      </c>
      <c r="F25" s="44" t="n">
        <f aca="false">LN(D25+1)</f>
        <v>7.40611255320311</v>
      </c>
      <c r="G25" s="33" t="n">
        <f aca="false">(E25-F25)^2</f>
        <v>0.359140345185669</v>
      </c>
    </row>
    <row r="26" customFormat="false" ht="15" hidden="false" customHeight="false" outlineLevel="0" collapsed="false">
      <c r="B26" s="31" t="n">
        <f aca="false">Datos_OWID!B24</f>
        <v>19</v>
      </c>
      <c r="C26" s="38" t="n">
        <f aca="false">Datos_OWID!E24</f>
        <v>1153</v>
      </c>
      <c r="D26" s="38" t="n">
        <f aca="false">Modelo_SIRD!M26</f>
        <v>1724.09024369527</v>
      </c>
      <c r="E26" s="44" t="n">
        <f aca="false">LN(C26+1)</f>
        <v>7.05098944706805</v>
      </c>
      <c r="F26" s="44" t="n">
        <f aca="false">LN(D26+1)</f>
        <v>7.45303464328273</v>
      </c>
      <c r="G26" s="33" t="n">
        <f aca="false">(E26-F26)^2</f>
        <v>0.161640339799304</v>
      </c>
    </row>
    <row r="27" customFormat="false" ht="15" hidden="false" customHeight="false" outlineLevel="0" collapsed="false">
      <c r="B27" s="31" t="n">
        <f aca="false">Datos_OWID!B25</f>
        <v>20</v>
      </c>
      <c r="C27" s="38" t="n">
        <f aca="false">Datos_OWID!E25</f>
        <v>1374</v>
      </c>
      <c r="D27" s="38" t="n">
        <f aca="false">Modelo_SIRD!M27</f>
        <v>1798.49073917528</v>
      </c>
      <c r="E27" s="44" t="n">
        <f aca="false">LN(C27+1)</f>
        <v>7.22620901010067</v>
      </c>
      <c r="F27" s="44" t="n">
        <f aca="false">LN(D27+1)</f>
        <v>7.49525898117369</v>
      </c>
      <c r="G27" s="33" t="n">
        <f aca="false">(E27-F27)^2</f>
        <v>0.0723878869343896</v>
      </c>
    </row>
    <row r="28" customFormat="false" ht="15" hidden="false" customHeight="false" outlineLevel="0" collapsed="false">
      <c r="B28" s="31" t="n">
        <f aca="false">Datos_OWID!B26</f>
        <v>21</v>
      </c>
      <c r="C28" s="38" t="n">
        <f aca="false">Datos_OWID!E26</f>
        <v>1544</v>
      </c>
      <c r="D28" s="38" t="n">
        <f aca="false">Modelo_SIRD!M28</f>
        <v>1866.89624707377</v>
      </c>
      <c r="E28" s="44" t="n">
        <f aca="false">LN(C28+1)</f>
        <v>7.34277918933185</v>
      </c>
      <c r="F28" s="44" t="n">
        <f aca="false">LN(D28+1)</f>
        <v>7.53256807499453</v>
      </c>
      <c r="G28" s="33" t="n">
        <f aca="false">(E28-F28)^2</f>
        <v>0.0360198211210846</v>
      </c>
    </row>
    <row r="29" customFormat="false" ht="15" hidden="false" customHeight="false" outlineLevel="0" collapsed="false">
      <c r="B29" s="31" t="n">
        <f aca="false">Datos_OWID!B27</f>
        <v>22</v>
      </c>
      <c r="C29" s="38" t="n">
        <f aca="false">Datos_OWID!E27</f>
        <v>1456</v>
      </c>
      <c r="D29" s="38" t="n">
        <f aca="false">Modelo_SIRD!M29</f>
        <v>1928.00408340981</v>
      </c>
      <c r="E29" s="44" t="n">
        <f aca="false">LN(C29+1)</f>
        <v>7.28413480619521</v>
      </c>
      <c r="F29" s="44" t="n">
        <f aca="false">LN(D29+1)</f>
        <v>7.56475912975668</v>
      </c>
      <c r="G29" s="33" t="n">
        <f aca="false">(E29-F29)^2</f>
        <v>0.0787500109743379</v>
      </c>
    </row>
    <row r="30" customFormat="false" ht="15" hidden="false" customHeight="false" outlineLevel="0" collapsed="false">
      <c r="B30" s="31" t="n">
        <f aca="false">Datos_OWID!B28</f>
        <v>23</v>
      </c>
      <c r="C30" s="38" t="n">
        <f aca="false">Datos_OWID!E28</f>
        <v>1762</v>
      </c>
      <c r="D30" s="38" t="n">
        <f aca="false">Modelo_SIRD!M30</f>
        <v>1980.57601353746</v>
      </c>
      <c r="E30" s="44" t="n">
        <f aca="false">LN(C30+1)</f>
        <v>7.47477218239787</v>
      </c>
      <c r="F30" s="44" t="n">
        <f aca="false">LN(D30+1)</f>
        <v>7.59164777350836</v>
      </c>
      <c r="G30" s="33" t="n">
        <f aca="false">(E30-F30)^2</f>
        <v>0.0136599037974256</v>
      </c>
    </row>
    <row r="31" customFormat="false" ht="15" hidden="false" customHeight="false" outlineLevel="0" collapsed="false">
      <c r="B31" s="31" t="n">
        <f aca="false">Datos_OWID!B29</f>
        <v>24</v>
      </c>
      <c r="C31" s="38" t="n">
        <f aca="false">Datos_OWID!E29</f>
        <v>1662</v>
      </c>
      <c r="D31" s="38" t="n">
        <f aca="false">Modelo_SIRD!M31</f>
        <v>2023.48713902122</v>
      </c>
      <c r="E31" s="44" t="n">
        <f aca="false">LN(C31+1)</f>
        <v>7.41637847919293</v>
      </c>
      <c r="F31" s="44" t="n">
        <f aca="false">LN(D31+1)</f>
        <v>7.61307168278285</v>
      </c>
      <c r="G31" s="33" t="n">
        <f aca="false">(E31-F31)^2</f>
        <v>0.038688216338465</v>
      </c>
    </row>
    <row r="32" customFormat="false" ht="15" hidden="false" customHeight="false" outlineLevel="0" collapsed="false">
      <c r="B32" s="31" t="n">
        <f aca="false">Datos_OWID!B30</f>
        <v>25</v>
      </c>
      <c r="C32" s="38" t="n">
        <f aca="false">Datos_OWID!E30</f>
        <v>1877</v>
      </c>
      <c r="D32" s="38" t="n">
        <f aca="false">Modelo_SIRD!M32</f>
        <v>2055.77390872102</v>
      </c>
      <c r="E32" s="44" t="n">
        <f aca="false">LN(C32+1)</f>
        <v>7.53796265976821</v>
      </c>
      <c r="F32" s="44" t="n">
        <f aca="false">LN(D32+1)</f>
        <v>7.62889397049637</v>
      </c>
      <c r="G32" s="33" t="n">
        <f aca="false">(E32-F32)^2</f>
        <v>0.00826850327074199</v>
      </c>
    </row>
    <row r="33" customFormat="false" ht="15" hidden="false" customHeight="false" outlineLevel="0" collapsed="false">
      <c r="B33" s="31" t="n">
        <f aca="false">Datos_OWID!B31</f>
        <v>26</v>
      </c>
      <c r="C33" s="38" t="n">
        <f aca="false">Datos_OWID!E31</f>
        <v>2260</v>
      </c>
      <c r="D33" s="38" t="n">
        <f aca="false">Modelo_SIRD!M33</f>
        <v>2076.67798676675</v>
      </c>
      <c r="E33" s="44" t="n">
        <f aca="false">LN(C33+1)</f>
        <v>7.72356247227797</v>
      </c>
      <c r="F33" s="44" t="n">
        <f aca="false">LN(D33+1)</f>
        <v>7.63900619659377</v>
      </c>
      <c r="G33" s="33" t="n">
        <f aca="false">(E33-F33)^2</f>
        <v>0.00714976375758228</v>
      </c>
    </row>
    <row r="34" customFormat="false" ht="15" hidden="false" customHeight="false" outlineLevel="0" collapsed="false">
      <c r="B34" s="31" t="n">
        <f aca="false">Datos_OWID!B32</f>
        <v>27</v>
      </c>
      <c r="C34" s="38" t="n">
        <f aca="false">Datos_OWID!E32</f>
        <v>2324</v>
      </c>
      <c r="D34" s="38" t="n">
        <f aca="false">Modelo_SIRD!M34</f>
        <v>2085.68271834971</v>
      </c>
      <c r="E34" s="44" t="n">
        <f aca="false">LN(C34+1)</f>
        <v>7.75147531802146</v>
      </c>
      <c r="F34" s="44" t="n">
        <f aca="false">LN(D34+1)</f>
        <v>7.64333086789631</v>
      </c>
      <c r="G34" s="33" t="n">
        <f aca="false">(E34-F34)^2</f>
        <v>0.0116952220928708</v>
      </c>
    </row>
    <row r="35" customFormat="false" ht="15" hidden="false" customHeight="false" outlineLevel="0" collapsed="false">
      <c r="B35" s="31" t="n">
        <f aca="false">Datos_OWID!B33</f>
        <v>28</v>
      </c>
      <c r="C35" s="38" t="n">
        <f aca="false">Datos_OWID!E33</f>
        <v>2446</v>
      </c>
      <c r="D35" s="38" t="n">
        <f aca="false">Modelo_SIRD!M35</f>
        <v>2082.53929195957</v>
      </c>
      <c r="E35" s="44" t="n">
        <f aca="false">LN(C35+1)</f>
        <v>7.80261806344267</v>
      </c>
      <c r="F35" s="44" t="n">
        <f aca="false">LN(D35+1)</f>
        <v>7.64182330931659</v>
      </c>
      <c r="G35" s="33" t="n">
        <f aca="false">(E35-F35)^2</f>
        <v>0.0258549529544679</v>
      </c>
    </row>
    <row r="36" customFormat="false" ht="15" hidden="false" customHeight="false" outlineLevel="0" collapsed="false">
      <c r="B36" s="31" t="n">
        <f aca="false">Datos_OWID!B34</f>
        <v>29</v>
      </c>
      <c r="C36" s="38" t="n">
        <f aca="false">Datos_OWID!E34</f>
        <v>2340</v>
      </c>
      <c r="D36" s="38" t="n">
        <f aca="false">Modelo_SIRD!M36</f>
        <v>2067.28039394924</v>
      </c>
      <c r="E36" s="44" t="n">
        <f aca="false">LN(C36+1)</f>
        <v>7.75833346749091</v>
      </c>
      <c r="F36" s="44" t="n">
        <f aca="false">LN(D36+1)</f>
        <v>7.6344728134533</v>
      </c>
      <c r="G36" s="33" t="n">
        <f aca="false">(E36-F36)^2</f>
        <v>0.0153414616186235</v>
      </c>
    </row>
    <row r="37" customFormat="false" ht="15" hidden="false" customHeight="false" outlineLevel="0" collapsed="false">
      <c r="B37" s="31" t="n">
        <f aca="false">Datos_OWID!B35</f>
        <v>30</v>
      </c>
      <c r="C37" s="38" t="n">
        <f aca="false">Datos_OWID!E35</f>
        <v>2456</v>
      </c>
      <c r="D37" s="38" t="n">
        <f aca="false">Modelo_SIRD!M37</f>
        <v>2040.22012413248</v>
      </c>
      <c r="E37" s="44" t="n">
        <f aca="false">LN(C37+1)</f>
        <v>7.80669637252118</v>
      </c>
      <c r="F37" s="44" t="n">
        <f aca="false">LN(D37+1)</f>
        <v>7.62130300811265</v>
      </c>
      <c r="G37" s="33" t="n">
        <f aca="false">(E37-F37)^2</f>
        <v>0.0343706995667145</v>
      </c>
    </row>
    <row r="38" customFormat="false" ht="15" hidden="false" customHeight="false" outlineLevel="0" collapsed="false">
      <c r="B38" s="31" t="n">
        <f aca="false">Datos_OWID!B36</f>
        <v>31</v>
      </c>
      <c r="C38" s="38" t="n">
        <f aca="false">Datos_OWID!E36</f>
        <v>2523</v>
      </c>
      <c r="D38" s="38" t="n">
        <f aca="false">Modelo_SIRD!M38</f>
        <v>2001.94007807823</v>
      </c>
      <c r="E38" s="44" t="n">
        <f aca="false">LN(C38+1)</f>
        <v>7.8336002236611</v>
      </c>
      <c r="F38" s="44" t="n">
        <f aca="false">LN(D38+1)</f>
        <v>7.60237141913157</v>
      </c>
      <c r="G38" s="33" t="n">
        <f aca="false">(E38-F38)^2</f>
        <v>0.0534667600441588</v>
      </c>
    </row>
    <row r="39" customFormat="false" ht="15" hidden="false" customHeight="false" outlineLevel="0" collapsed="false">
      <c r="B39" s="31" t="n">
        <f aca="false">Datos_OWID!B37</f>
        <v>32</v>
      </c>
      <c r="C39" s="38" t="n">
        <f aca="false">Datos_OWID!E37</f>
        <v>2602</v>
      </c>
      <c r="D39" s="38" t="n">
        <f aca="false">Modelo_SIRD!M39</f>
        <v>1953.2626612727</v>
      </c>
      <c r="E39" s="44" t="n">
        <f aca="false">LN(C39+1)</f>
        <v>7.86441990499457</v>
      </c>
      <c r="F39" s="44" t="n">
        <f aca="false">LN(D39+1)</f>
        <v>7.57776824591926</v>
      </c>
      <c r="G39" s="33" t="n">
        <f aca="false">(E39-F39)^2</f>
        <v>0.0821691736506246</v>
      </c>
    </row>
    <row r="40" customFormat="false" ht="15" hidden="false" customHeight="false" outlineLevel="0" collapsed="false">
      <c r="B40" s="31" t="n">
        <f aca="false">Datos_OWID!B38</f>
        <v>33</v>
      </c>
      <c r="C40" s="38" t="n">
        <f aca="false">Datos_OWID!E38</f>
        <v>2449</v>
      </c>
      <c r="D40" s="38" t="n">
        <f aca="false">Modelo_SIRD!M40</f>
        <v>1895.21373518656</v>
      </c>
      <c r="E40" s="44" t="n">
        <f aca="false">LN(C40+1)</f>
        <v>7.80384330353877</v>
      </c>
      <c r="F40" s="44" t="n">
        <f aca="false">LN(D40+1)</f>
        <v>7.54761440599025</v>
      </c>
      <c r="G40" s="33" t="n">
        <f aca="false">(E40-F40)^2</f>
        <v>0.0656532479389323</v>
      </c>
    </row>
    <row r="41" customFormat="false" ht="15" hidden="false" customHeight="false" outlineLevel="0" collapsed="false">
      <c r="B41" s="31" t="n">
        <f aca="false">Datos_OWID!B39</f>
        <v>34</v>
      </c>
      <c r="C41" s="38" t="n">
        <f aca="false">Datos_OWID!E39</f>
        <v>2348</v>
      </c>
      <c r="D41" s="38" t="n">
        <f aca="false">Modelo_SIRD!M41</f>
        <v>1828.9774789226</v>
      </c>
      <c r="E41" s="44" t="n">
        <f aca="false">LN(C41+1)</f>
        <v>7.76174498465891</v>
      </c>
      <c r="F41" s="44" t="n">
        <f aca="false">LN(D41+1)</f>
        <v>7.51205893916007</v>
      </c>
      <c r="G41" s="33" t="n">
        <f aca="false">(E41-F41)^2</f>
        <v>0.0623431213168514</v>
      </c>
    </row>
    <row r="42" customFormat="false" ht="15" hidden="false" customHeight="false" outlineLevel="0" collapsed="false">
      <c r="B42" s="31" t="n">
        <f aca="false">Datos_OWID!B40</f>
        <v>35</v>
      </c>
      <c r="C42" s="38" t="n">
        <f aca="false">Datos_OWID!E40</f>
        <v>1854</v>
      </c>
      <c r="D42" s="38" t="n">
        <f aca="false">Modelo_SIRD!M42</f>
        <v>1755.84679819657</v>
      </c>
      <c r="E42" s="44" t="n">
        <f aca="false">LN(C42+1)</f>
        <v>7.52563997504154</v>
      </c>
      <c r="F42" s="44" t="n">
        <f aca="false">LN(D42+1)</f>
        <v>7.47127588927814</v>
      </c>
      <c r="G42" s="33" t="n">
        <f aca="false">(E42-F42)^2</f>
        <v>0.00295545382088988</v>
      </c>
    </row>
    <row r="43" customFormat="false" ht="15" hidden="false" customHeight="false" outlineLevel="0" collapsed="false">
      <c r="B43" s="31" t="n">
        <f aca="false">Datos_OWID!B41</f>
        <v>36</v>
      </c>
      <c r="C43" s="38" t="n">
        <f aca="false">Datos_OWID!E41</f>
        <v>1683</v>
      </c>
      <c r="D43" s="38" t="n">
        <f aca="false">Modelo_SIRD!M43</f>
        <v>1677.17269603979</v>
      </c>
      <c r="E43" s="44" t="n">
        <f aca="false">LN(C43+1)</f>
        <v>7.42892719480227</v>
      </c>
      <c r="F43" s="44" t="n">
        <f aca="false">LN(D43+1)</f>
        <v>7.42546079951443</v>
      </c>
      <c r="G43" s="33" t="n">
        <f aca="false">(E43-F43)^2</f>
        <v>1.20158962915916E-005</v>
      </c>
    </row>
    <row r="44" customFormat="false" ht="15" hidden="false" customHeight="false" outlineLevel="0" collapsed="false">
      <c r="B44" s="31" t="n">
        <f aca="false">Datos_OWID!B42</f>
        <v>37</v>
      </c>
      <c r="C44" s="38" t="n">
        <f aca="false">Datos_OWID!E42</f>
        <v>1452</v>
      </c>
      <c r="D44" s="38" t="n">
        <f aca="false">Modelo_SIRD!M44</f>
        <v>1594.315761912</v>
      </c>
      <c r="E44" s="44" t="n">
        <f aca="false">LN(C44+1)</f>
        <v>7.28138566357028</v>
      </c>
      <c r="F44" s="44" t="n">
        <f aca="false">LN(D44+1)</f>
        <v>7.37482696547629</v>
      </c>
      <c r="G44" s="33" t="n">
        <f aca="false">(E44-F44)^2</f>
        <v>0.00873127690188875</v>
      </c>
    </row>
    <row r="45" customFormat="false" ht="15" hidden="false" customHeight="false" outlineLevel="0" collapsed="false">
      <c r="B45" s="31" t="n">
        <f aca="false">Datos_OWID!B43</f>
        <v>38</v>
      </c>
      <c r="C45" s="38" t="n">
        <f aca="false">Datos_OWID!E43</f>
        <v>1170</v>
      </c>
      <c r="D45" s="38" t="n">
        <f aca="false">Modelo_SIRD!M45</f>
        <v>1508.60240780446</v>
      </c>
      <c r="E45" s="44" t="n">
        <f aca="false">LN(C45+1)</f>
        <v>7.06561336359772</v>
      </c>
      <c r="F45" s="44" t="n">
        <f aca="false">LN(D45+1)</f>
        <v>7.31960158904808</v>
      </c>
      <c r="G45" s="33" t="n">
        <f aca="false">(E45-F45)^2</f>
        <v>0.0645100186674226</v>
      </c>
    </row>
    <row r="46" customFormat="false" ht="15" hidden="false" customHeight="false" outlineLevel="0" collapsed="false">
      <c r="B46" s="31" t="n">
        <f aca="false">Datos_OWID!B44</f>
        <v>39</v>
      </c>
      <c r="C46" s="38" t="n">
        <f aca="false">Datos_OWID!E44</f>
        <v>943</v>
      </c>
      <c r="D46" s="38" t="n">
        <f aca="false">Modelo_SIRD!M46</f>
        <v>1421.2877787929</v>
      </c>
      <c r="E46" s="44" t="n">
        <f aca="false">LN(C46+1)</f>
        <v>6.8501261661455</v>
      </c>
      <c r="F46" s="44" t="n">
        <f aca="false">LN(D46+1)</f>
        <v>7.26002196597293</v>
      </c>
      <c r="G46" s="33" t="n">
        <f aca="false">(E46-F46)^2</f>
        <v>0.168014566716165</v>
      </c>
    </row>
    <row r="47" customFormat="false" ht="15" hidden="false" customHeight="false" outlineLevel="0" collapsed="false">
      <c r="B47" s="31" t="n">
        <f aca="false">Datos_OWID!B45</f>
        <v>40</v>
      </c>
      <c r="C47" s="38" t="n">
        <f aca="false">Datos_OWID!E45</f>
        <v>862</v>
      </c>
      <c r="D47" s="38" t="n">
        <f aca="false">Modelo_SIRD!M47</f>
        <v>1298.36234142136</v>
      </c>
      <c r="E47" s="44" t="n">
        <f aca="false">LN(C47+1)</f>
        <v>6.76041469108343</v>
      </c>
      <c r="F47" s="44" t="n">
        <f aca="false">LN(D47+1)</f>
        <v>7.16962891651296</v>
      </c>
      <c r="G47" s="33" t="n">
        <f aca="false">(E47-F47)^2</f>
        <v>0.167456282293891</v>
      </c>
    </row>
    <row r="48" customFormat="false" ht="15" hidden="false" customHeight="false" outlineLevel="0" collapsed="false">
      <c r="B48" s="31" t="n">
        <f aca="false">Datos_OWID!B46</f>
        <v>41</v>
      </c>
      <c r="C48" s="38" t="n">
        <f aca="false">Datos_OWID!E46</f>
        <v>795</v>
      </c>
      <c r="D48" s="38" t="n">
        <f aca="false">Modelo_SIRD!M48</f>
        <v>1181.72109746058</v>
      </c>
      <c r="E48" s="44" t="n">
        <f aca="false">LN(C48+1)</f>
        <v>6.67959918584438</v>
      </c>
      <c r="F48" s="44" t="n">
        <f aca="false">LN(D48+1)</f>
        <v>7.07557307748521</v>
      </c>
      <c r="G48" s="33" t="n">
        <f aca="false">(E48-F48)^2</f>
        <v>0.156795322861178</v>
      </c>
    </row>
    <row r="49" customFormat="false" ht="15" hidden="false" customHeight="false" outlineLevel="0" collapsed="false">
      <c r="B49" s="31" t="n">
        <f aca="false">Datos_OWID!B47</f>
        <v>42</v>
      </c>
      <c r="C49" s="38" t="n">
        <f aca="false">Datos_OWID!E47</f>
        <v>910</v>
      </c>
      <c r="D49" s="38" t="n">
        <f aca="false">Modelo_SIRD!M49</f>
        <v>1071.96362180737</v>
      </c>
      <c r="E49" s="44" t="n">
        <f aca="false">LN(C49+1)</f>
        <v>6.81454289725996</v>
      </c>
      <c r="F49" s="44" t="n">
        <f aca="false">LN(D49+1)</f>
        <v>6.97817983880096</v>
      </c>
      <c r="G49" s="33" t="n">
        <f aca="false">(E49-F49)^2</f>
        <v>0.0267770486368927</v>
      </c>
    </row>
    <row r="50" customFormat="false" ht="15" hidden="false" customHeight="false" outlineLevel="0" collapsed="false">
      <c r="B50" s="31" t="n">
        <f aca="false">Datos_OWID!B48</f>
        <v>43</v>
      </c>
      <c r="C50" s="38" t="n">
        <f aca="false">Datos_OWID!E48</f>
        <v>859</v>
      </c>
      <c r="D50" s="38" t="n">
        <f aca="false">Modelo_SIRD!M50</f>
        <v>969.447052647272</v>
      </c>
      <c r="E50" s="44" t="n">
        <f aca="false">LN(C50+1)</f>
        <v>6.75693238924755</v>
      </c>
      <c r="F50" s="44" t="n">
        <f aca="false">LN(D50+1)</f>
        <v>6.87775684434312</v>
      </c>
      <c r="G50" s="33" t="n">
        <f aca="false">(E50-F50)^2</f>
        <v>0.0145985489491408</v>
      </c>
    </row>
    <row r="51" customFormat="false" ht="15" hidden="false" customHeight="false" outlineLevel="0" collapsed="false">
      <c r="B51" s="31" t="n">
        <f aca="false">Datos_OWID!B49</f>
        <v>44</v>
      </c>
      <c r="C51" s="38" t="n">
        <f aca="false">Datos_OWID!E49</f>
        <v>1103</v>
      </c>
      <c r="D51" s="38" t="n">
        <f aca="false">Modelo_SIRD!M51</f>
        <v>874.32279438938</v>
      </c>
      <c r="E51" s="44" t="n">
        <f aca="false">LN(C51+1)</f>
        <v>7.00669522683704</v>
      </c>
      <c r="F51" s="44" t="n">
        <f aca="false">LN(D51+1)</f>
        <v>6.77459272620141</v>
      </c>
      <c r="G51" s="33" t="n">
        <f aca="false">(E51-F51)^2</f>
        <v>0.0538715708013118</v>
      </c>
    </row>
    <row r="52" customFormat="false" ht="15" hidden="false" customHeight="false" outlineLevel="0" collapsed="false">
      <c r="B52" s="31" t="n">
        <f aca="false">Datos_OWID!B50</f>
        <v>45</v>
      </c>
      <c r="C52" s="38" t="n">
        <f aca="false">Datos_OWID!E50</f>
        <v>1415</v>
      </c>
      <c r="D52" s="38" t="n">
        <f aca="false">Modelo_SIRD!M52</f>
        <v>786.573305772057</v>
      </c>
      <c r="E52" s="44" t="n">
        <f aca="false">LN(C52+1)</f>
        <v>7.25559127425367</v>
      </c>
      <c r="F52" s="44" t="n">
        <f aca="false">LN(D52+1)</f>
        <v>6.66895645306217</v>
      </c>
      <c r="G52" s="33" t="n">
        <f aca="false">(E52-F52)^2</f>
        <v>0.344140413434382</v>
      </c>
    </row>
    <row r="53" customFormat="false" ht="15" hidden="false" customHeight="false" outlineLevel="0" collapsed="false">
      <c r="B53" s="31" t="n">
        <f aca="false">Datos_OWID!B51</f>
        <v>46</v>
      </c>
      <c r="C53" s="38" t="n">
        <f aca="false">Datos_OWID!E51</f>
        <v>1300</v>
      </c>
      <c r="D53" s="38" t="n">
        <f aca="false">Modelo_SIRD!M53</f>
        <v>706.047035138894</v>
      </c>
      <c r="E53" s="44" t="n">
        <f aca="false">LN(C53+1)</f>
        <v>7.17088847851251</v>
      </c>
      <c r="F53" s="44" t="n">
        <f aca="false">LN(D53+1)</f>
        <v>6.56109719146148</v>
      </c>
      <c r="G53" s="33" t="n">
        <f aca="false">(E53-F53)^2</f>
        <v>0.371845413763341</v>
      </c>
    </row>
    <row r="54" customFormat="false" ht="15" hidden="false" customHeight="false" outlineLevel="0" collapsed="false">
      <c r="B54" s="31" t="n">
        <f aca="false">Datos_OWID!B52</f>
        <v>47</v>
      </c>
      <c r="C54" s="38" t="n">
        <f aca="false">Datos_OWID!E52</f>
        <v>1260</v>
      </c>
      <c r="D54" s="38" t="n">
        <f aca="false">Modelo_SIRD!M54</f>
        <v>632.490232641489</v>
      </c>
      <c r="E54" s="44" t="n">
        <f aca="false">LN(C54+1)</f>
        <v>7.13966033596492</v>
      </c>
      <c r="F54" s="44" t="n">
        <f aca="false">LN(D54+1)</f>
        <v>6.45124458155471</v>
      </c>
      <c r="G54" s="33" t="n">
        <f aca="false">(E54-F54)^2</f>
        <v>0.473916250920182</v>
      </c>
    </row>
    <row r="55" customFormat="false" ht="15" hidden="false" customHeight="false" outlineLevel="0" collapsed="false">
      <c r="B55" s="31" t="n">
        <f aca="false">Datos_OWID!B53</f>
        <v>48</v>
      </c>
      <c r="C55" s="38" t="n">
        <f aca="false">Datos_OWID!E53</f>
        <v>1131</v>
      </c>
      <c r="D55" s="38" t="n">
        <f aca="false">Modelo_SIRD!M55</f>
        <v>735.618988286682</v>
      </c>
      <c r="E55" s="44" t="n">
        <f aca="false">LN(C55+1)</f>
        <v>7.03174125876313</v>
      </c>
      <c r="F55" s="44" t="n">
        <f aca="false">LN(D55+1)</f>
        <v>6.60207078196636</v>
      </c>
      <c r="G55" s="33" t="n">
        <f aca="false">(E55-F55)^2</f>
        <v>0.184616718630763</v>
      </c>
    </row>
    <row r="56" customFormat="false" ht="15" hidden="false" customHeight="false" outlineLevel="0" collapsed="false">
      <c r="B56" s="31" t="n">
        <f aca="false">Datos_OWID!B54</f>
        <v>49</v>
      </c>
      <c r="C56" s="38" t="n">
        <f aca="false">Datos_OWID!E54</f>
        <v>948</v>
      </c>
      <c r="D56" s="38" t="n">
        <f aca="false">Modelo_SIRD!M56</f>
        <v>853.323320223775</v>
      </c>
      <c r="E56" s="44" t="n">
        <f aca="false">LN(C56+1)</f>
        <v>6.85540879860993</v>
      </c>
      <c r="F56" s="44" t="n">
        <f aca="false">LN(D56+1)</f>
        <v>6.75030971724933</v>
      </c>
      <c r="G56" s="33" t="n">
        <f aca="false">(E56-F56)^2</f>
        <v>0.0110458169028413</v>
      </c>
    </row>
    <row r="57" customFormat="false" ht="15" hidden="false" customHeight="false" outlineLevel="0" collapsed="false">
      <c r="B57" s="31" t="n">
        <f aca="false">Datos_OWID!B55</f>
        <v>50</v>
      </c>
      <c r="C57" s="38" t="n">
        <f aca="false">Datos_OWID!E55</f>
        <v>935</v>
      </c>
      <c r="D57" s="38" t="n">
        <f aca="false">Modelo_SIRD!M57</f>
        <v>986.850078458185</v>
      </c>
      <c r="E57" s="44" t="n">
        <f aca="false">LN(C57+1)</f>
        <v>6.84161547647759</v>
      </c>
      <c r="F57" s="44" t="n">
        <f aca="false">LN(D57+1)</f>
        <v>6.89553094378259</v>
      </c>
      <c r="G57" s="33" t="n">
        <f aca="false">(E57-F57)^2</f>
        <v>0.00290687761471604</v>
      </c>
    </row>
    <row r="58" customFormat="false" ht="15" hidden="false" customHeight="false" outlineLevel="0" collapsed="false">
      <c r="B58" s="31" t="n">
        <f aca="false">Datos_OWID!B56</f>
        <v>51</v>
      </c>
      <c r="C58" s="38" t="n">
        <f aca="false">Datos_OWID!E56</f>
        <v>797</v>
      </c>
      <c r="D58" s="38" t="n">
        <f aca="false">Modelo_SIRD!M58</f>
        <v>1136.6272077688</v>
      </c>
      <c r="E58" s="44" t="n">
        <f aca="false">LN(C58+1)</f>
        <v>6.68210859744981</v>
      </c>
      <c r="F58" s="44" t="n">
        <f aca="false">LN(D58+1)</f>
        <v>7.03669997557803</v>
      </c>
      <c r="G58" s="33" t="n">
        <f aca="false">(E58-F58)^2</f>
        <v>0.125735045442869</v>
      </c>
    </row>
    <row r="59" customFormat="false" ht="15" hidden="false" customHeight="false" outlineLevel="0" collapsed="false">
      <c r="B59" s="31" t="n">
        <f aca="false">Datos_OWID!B57</f>
        <v>52</v>
      </c>
      <c r="C59" s="38" t="n">
        <f aca="false">Datos_OWID!E57</f>
        <v>831</v>
      </c>
      <c r="D59" s="38" t="n">
        <f aca="false">Modelo_SIRD!M59</f>
        <v>1303.1745718242</v>
      </c>
      <c r="E59" s="44" t="n">
        <f aca="false">LN(C59+1)</f>
        <v>6.72383244082121</v>
      </c>
      <c r="F59" s="44" t="n">
        <f aca="false">LN(D59+1)</f>
        <v>7.17332560762458</v>
      </c>
      <c r="G59" s="33" t="n">
        <f aca="false">(E59-F59)^2</f>
        <v>0.202044107002919</v>
      </c>
    </row>
    <row r="60" customFormat="false" ht="15" hidden="false" customHeight="false" outlineLevel="0" collapsed="false">
      <c r="B60" s="31" t="n">
        <f aca="false">Datos_OWID!B58</f>
        <v>53</v>
      </c>
      <c r="C60" s="38" t="n">
        <f aca="false">Datos_OWID!E58</f>
        <v>884</v>
      </c>
      <c r="D60" s="38" t="n">
        <f aca="false">Modelo_SIRD!M60</f>
        <v>1486.42804852089</v>
      </c>
      <c r="E60" s="44" t="n">
        <f aca="false">LN(C60+1)</f>
        <v>6.78558764500793</v>
      </c>
      <c r="F60" s="44" t="n">
        <f aca="false">LN(D60+1)</f>
        <v>7.30480376550762</v>
      </c>
      <c r="G60" s="33" t="n">
        <f aca="false">(E60-F60)^2</f>
        <v>0.269585379786752</v>
      </c>
    </row>
    <row r="61" customFormat="false" ht="15" hidden="false" customHeight="false" outlineLevel="0" collapsed="false">
      <c r="B61" s="31" t="n">
        <f aca="false">Datos_OWID!B59</f>
        <v>54</v>
      </c>
      <c r="C61" s="38" t="n">
        <f aca="false">Datos_OWID!E59</f>
        <v>977</v>
      </c>
      <c r="D61" s="38" t="n">
        <f aca="false">Modelo_SIRD!M61</f>
        <v>1687.70741540319</v>
      </c>
      <c r="E61" s="44" t="n">
        <f aca="false">LN(C61+1)</f>
        <v>6.88550967003482</v>
      </c>
      <c r="F61" s="44" t="n">
        <f aca="false">LN(D61+1)</f>
        <v>7.43171867231883</v>
      </c>
      <c r="G61" s="33" t="n">
        <f aca="false">(E61-F61)^2</f>
        <v>0.29834427417609</v>
      </c>
    </row>
    <row r="62" customFormat="false" ht="15" hidden="false" customHeight="false" outlineLevel="0" collapsed="false">
      <c r="B62" s="31" t="n">
        <f aca="false">Datos_OWID!B60</f>
        <v>55</v>
      </c>
      <c r="C62" s="38" t="n">
        <f aca="false">Datos_OWID!E60</f>
        <v>994</v>
      </c>
      <c r="D62" s="38" t="n">
        <f aca="false">Modelo_SIRD!M62</f>
        <v>1905.07637366359</v>
      </c>
      <c r="E62" s="44" t="n">
        <f aca="false">LN(C62+1)</f>
        <v>6.90274273715859</v>
      </c>
      <c r="F62" s="44" t="n">
        <f aca="false">LN(D62+1)</f>
        <v>7.55280215353916</v>
      </c>
      <c r="G62" s="33" t="n">
        <f aca="false">(E62-F62)^2</f>
        <v>0.422577244825045</v>
      </c>
    </row>
    <row r="63" customFormat="false" ht="15" hidden="false" customHeight="false" outlineLevel="0" collapsed="false">
      <c r="B63" s="31" t="n">
        <f aca="false">Datos_OWID!B61</f>
        <v>56</v>
      </c>
      <c r="C63" s="38" t="n">
        <f aca="false">Datos_OWID!E61</f>
        <v>1259</v>
      </c>
      <c r="D63" s="38" t="n">
        <f aca="false">Modelo_SIRD!M63</f>
        <v>2135.15201346493</v>
      </c>
      <c r="E63" s="44" t="n">
        <f aca="false">LN(C63+1)</f>
        <v>7.13886699994552</v>
      </c>
      <c r="F63" s="44" t="n">
        <f aca="false">LN(D63+1)</f>
        <v>7.66676136490031</v>
      </c>
      <c r="G63" s="33" t="n">
        <f aca="false">(E63-F63)^2</f>
        <v>0.278672460551013</v>
      </c>
    </row>
    <row r="64" customFormat="false" ht="15" hidden="false" customHeight="false" outlineLevel="0" collapsed="false">
      <c r="B64" s="31" t="n">
        <f aca="false">Datos_OWID!B62</f>
        <v>57</v>
      </c>
      <c r="C64" s="38" t="n">
        <f aca="false">Datos_OWID!E62</f>
        <v>1654</v>
      </c>
      <c r="D64" s="38" t="n">
        <f aca="false">Modelo_SIRD!M64</f>
        <v>2373.76154924111</v>
      </c>
      <c r="E64" s="44" t="n">
        <f aca="false">LN(C64+1)</f>
        <v>7.41155628781116</v>
      </c>
      <c r="F64" s="44" t="n">
        <f aca="false">LN(D64+1)</f>
        <v>7.77265231110876</v>
      </c>
      <c r="G64" s="33" t="n">
        <f aca="false">(E64-F64)^2</f>
        <v>0.130390338041339</v>
      </c>
    </row>
    <row r="65" customFormat="false" ht="15" hidden="false" customHeight="false" outlineLevel="0" collapsed="false">
      <c r="B65" s="31" t="n">
        <f aca="false">Datos_OWID!B63</f>
        <v>58</v>
      </c>
      <c r="C65" s="38" t="n">
        <f aca="false">Datos_OWID!E63</f>
        <v>2619</v>
      </c>
      <c r="D65" s="38" t="n">
        <f aca="false">Modelo_SIRD!M65</f>
        <v>2613.37313853879</v>
      </c>
      <c r="E65" s="44" t="n">
        <f aca="false">LN(C65+1)</f>
        <v>7.87092959675514</v>
      </c>
      <c r="F65" s="44" t="n">
        <f aca="false">LN(D65+1)</f>
        <v>7.86877963018619</v>
      </c>
      <c r="G65" s="33" t="n">
        <f aca="false">(E65-F65)^2</f>
        <v>4.62235624763105E-006</v>
      </c>
    </row>
    <row r="66" customFormat="false" ht="15" hidden="false" customHeight="false" outlineLevel="0" collapsed="false">
      <c r="B66" s="31" t="n">
        <f aca="false">Datos_OWID!B64</f>
        <v>59</v>
      </c>
      <c r="C66" s="38" t="n">
        <f aca="false">Datos_OWID!E64</f>
        <v>3293</v>
      </c>
      <c r="D66" s="38" t="n">
        <f aca="false">Modelo_SIRD!M66</f>
        <v>2847.22433908642</v>
      </c>
      <c r="E66" s="44" t="n">
        <f aca="false">LN(C66+1)</f>
        <v>8.09985791073759</v>
      </c>
      <c r="F66" s="44" t="n">
        <f aca="false">LN(D66+1)</f>
        <v>7.95445104017625</v>
      </c>
      <c r="G66" s="33" t="n">
        <f aca="false">(E66-F66)^2</f>
        <v>0.0211431580064409</v>
      </c>
    </row>
    <row r="67" customFormat="false" ht="15" hidden="false" customHeight="false" outlineLevel="0" collapsed="false">
      <c r="B67" s="31" t="n">
        <f aca="false">Datos_OWID!B65</f>
        <v>60</v>
      </c>
      <c r="C67" s="38" t="n">
        <f aca="false">Datos_OWID!E65</f>
        <v>3470</v>
      </c>
      <c r="D67" s="38" t="n">
        <f aca="false">Modelo_SIRD!M67</f>
        <v>3074.05962243601</v>
      </c>
      <c r="E67" s="44" t="n">
        <f aca="false">LN(C67+1)</f>
        <v>8.15219801586179</v>
      </c>
      <c r="F67" s="44" t="n">
        <f aca="false">LN(D67+1)</f>
        <v>8.03107956946273</v>
      </c>
      <c r="G67" s="33" t="n">
        <f aca="false">(E67-F67)^2</f>
        <v>0.0146696780581213</v>
      </c>
    </row>
    <row r="68" customFormat="false" ht="15" hidden="false" customHeight="false" outlineLevel="0" collapsed="false">
      <c r="B68" s="31" t="n">
        <f aca="false">Datos_OWID!B66</f>
        <v>61</v>
      </c>
      <c r="C68" s="38" t="n">
        <f aca="false">Datos_OWID!E66</f>
        <v>3115</v>
      </c>
      <c r="D68" s="38" t="n">
        <f aca="false">Modelo_SIRD!M68</f>
        <v>2935.44464298621</v>
      </c>
      <c r="E68" s="44" t="n">
        <f aca="false">LN(C68+1)</f>
        <v>8.04430540699064</v>
      </c>
      <c r="F68" s="44" t="n">
        <f aca="false">LN(D68+1)</f>
        <v>7.98495482342654</v>
      </c>
      <c r="G68" s="33" t="n">
        <f aca="false">(E68-F68)^2</f>
        <v>0.00352249176939916</v>
      </c>
    </row>
    <row r="69" customFormat="false" ht="15" hidden="false" customHeight="false" outlineLevel="0" collapsed="false">
      <c r="B69" s="31" t="n">
        <f aca="false">Datos_OWID!B67</f>
        <v>62</v>
      </c>
      <c r="C69" s="38" t="n">
        <f aca="false">Datos_OWID!E67</f>
        <v>3189</v>
      </c>
      <c r="D69" s="38" t="n">
        <f aca="false">Modelo_SIRD!M69</f>
        <v>2773.38195471633</v>
      </c>
      <c r="E69" s="44" t="n">
        <f aca="false">LN(C69+1)</f>
        <v>8.06777619577889</v>
      </c>
      <c r="F69" s="44" t="n">
        <f aca="false">LN(D69+1)</f>
        <v>7.92818328235383</v>
      </c>
      <c r="G69" s="33" t="n">
        <f aca="false">(E69-F69)^2</f>
        <v>0.0194861814784969</v>
      </c>
    </row>
    <row r="70" customFormat="false" ht="15" hidden="false" customHeight="false" outlineLevel="0" collapsed="false">
      <c r="B70" s="31" t="n">
        <f aca="false">Datos_OWID!B68</f>
        <v>63</v>
      </c>
      <c r="C70" s="38" t="n">
        <f aca="false">Datos_OWID!E68</f>
        <v>3641</v>
      </c>
      <c r="D70" s="38" t="n">
        <f aca="false">Modelo_SIRD!M70</f>
        <v>2593.59900052166</v>
      </c>
      <c r="E70" s="44" t="n">
        <f aca="false">LN(C70+1)</f>
        <v>8.20028826028755</v>
      </c>
      <c r="F70" s="44" t="n">
        <f aca="false">LN(D70+1)</f>
        <v>7.86118725592203</v>
      </c>
      <c r="G70" s="33" t="n">
        <f aca="false">(E70-F70)^2</f>
        <v>0.114989491161707</v>
      </c>
    </row>
    <row r="71" customFormat="false" ht="15" hidden="false" customHeight="false" outlineLevel="0" collapsed="false">
      <c r="B71" s="31" t="n">
        <f aca="false">Datos_OWID!B69</f>
        <v>64</v>
      </c>
      <c r="C71" s="38" t="n">
        <f aca="false">Datos_OWID!E69</f>
        <v>4516</v>
      </c>
      <c r="D71" s="38" t="n">
        <f aca="false">Modelo_SIRD!M71</f>
        <v>2403.8442112894</v>
      </c>
      <c r="E71" s="44" t="n">
        <f aca="false">LN(C71+1)</f>
        <v>8.4156033356546</v>
      </c>
      <c r="F71" s="44" t="n">
        <f aca="false">LN(D71+1)</f>
        <v>7.7852404034311</v>
      </c>
      <c r="G71" s="33" t="n">
        <f aca="false">(E71-F71)^2</f>
        <v>0.39735742632142</v>
      </c>
    </row>
    <row r="72" customFormat="false" ht="15" hidden="false" customHeight="false" outlineLevel="0" collapsed="false">
      <c r="B72" s="31" t="n">
        <f aca="false">Datos_OWID!B70</f>
        <v>65</v>
      </c>
      <c r="C72" s="38" t="n">
        <f aca="false">Datos_OWID!E70</f>
        <v>4339</v>
      </c>
      <c r="D72" s="38" t="n">
        <f aca="false">Modelo_SIRD!M72</f>
        <v>2207.5323170241</v>
      </c>
      <c r="E72" s="44" t="n">
        <f aca="false">LN(C72+1)</f>
        <v>8.37562962709445</v>
      </c>
      <c r="F72" s="44" t="n">
        <f aca="false">LN(D72+1)</f>
        <v>7.70008346394926</v>
      </c>
      <c r="G72" s="33" t="n">
        <f aca="false">(E72-F72)^2</f>
        <v>0.456362618540186</v>
      </c>
    </row>
    <row r="73" customFormat="false" ht="15" hidden="false" customHeight="false" outlineLevel="0" collapsed="false">
      <c r="B73" s="31" t="n">
        <f aca="false">Datos_OWID!B71</f>
        <v>66</v>
      </c>
      <c r="C73" s="38" t="n">
        <f aca="false">Datos_OWID!E71</f>
        <v>3978</v>
      </c>
      <c r="D73" s="38" t="n">
        <f aca="false">Modelo_SIRD!M73</f>
        <v>2000.70882358999</v>
      </c>
      <c r="E73" s="44" t="n">
        <f aca="false">LN(C73+1)</f>
        <v>8.28878581042693</v>
      </c>
      <c r="F73" s="44" t="n">
        <f aca="false">LN(D73+1)</f>
        <v>7.6017565065351</v>
      </c>
      <c r="G73" s="33" t="n">
        <f aca="false">(E73-F73)^2</f>
        <v>0.472009264406094</v>
      </c>
    </row>
    <row r="74" customFormat="false" ht="15" hidden="false" customHeight="false" outlineLevel="0" collapsed="false">
      <c r="B74" s="31" t="n">
        <f aca="false">Datos_OWID!B72</f>
        <v>67</v>
      </c>
      <c r="C74" s="38" t="n">
        <f aca="false">Datos_OWID!E72</f>
        <v>3317</v>
      </c>
      <c r="D74" s="38" t="n">
        <f aca="false">Modelo_SIRD!M74</f>
        <v>1793.88825223155</v>
      </c>
      <c r="E74" s="44" t="n">
        <f aca="false">LN(C74+1)</f>
        <v>8.10711747075039</v>
      </c>
      <c r="F74" s="44" t="n">
        <f aca="false">LN(D74+1)</f>
        <v>7.49269804396025</v>
      </c>
      <c r="G74" s="33" t="n">
        <f aca="false">(E74-F74)^2</f>
        <v>0.377511232017123</v>
      </c>
    </row>
    <row r="75" customFormat="false" ht="15" hidden="false" customHeight="false" outlineLevel="0" collapsed="false">
      <c r="B75" s="31" t="n">
        <f aca="false">Datos_OWID!B73</f>
        <v>68</v>
      </c>
      <c r="C75" s="38" t="n">
        <f aca="false">Datos_OWID!E73</f>
        <v>2694</v>
      </c>
      <c r="D75" s="38" t="n">
        <f aca="false">Modelo_SIRD!M75</f>
        <v>1605.66008685315</v>
      </c>
      <c r="E75" s="44" t="n">
        <f aca="false">LN(C75+1)</f>
        <v>7.8991534833431</v>
      </c>
      <c r="F75" s="44" t="n">
        <f aca="false">LN(D75+1)</f>
        <v>7.38191282304854</v>
      </c>
      <c r="G75" s="33" t="n">
        <f aca="false">(E75-F75)^2</f>
        <v>0.267537900661953</v>
      </c>
    </row>
    <row r="76" customFormat="false" ht="15" hidden="false" customHeight="false" outlineLevel="0" collapsed="false">
      <c r="B76" s="31" t="n">
        <f aca="false">Datos_OWID!B74</f>
        <v>69</v>
      </c>
      <c r="C76" s="38" t="n">
        <f aca="false">Datos_OWID!E74</f>
        <v>2532</v>
      </c>
      <c r="D76" s="38" t="n">
        <f aca="false">Modelo_SIRD!M76</f>
        <v>1428.20893577788</v>
      </c>
      <c r="E76" s="44" t="n">
        <f aca="false">LN(C76+1)</f>
        <v>7.83715965000168</v>
      </c>
      <c r="F76" s="44" t="n">
        <f aca="false">LN(D76+1)</f>
        <v>7.26487637842321</v>
      </c>
      <c r="G76" s="33" t="n">
        <f aca="false">(E76-F76)^2</f>
        <v>0.327508142928548</v>
      </c>
    </row>
    <row r="77" customFormat="false" ht="15" hidden="false" customHeight="false" outlineLevel="0" collapsed="false">
      <c r="B77" s="31" t="n">
        <f aca="false">Datos_OWID!B75</f>
        <v>70</v>
      </c>
      <c r="C77" s="38" t="n">
        <f aca="false">Datos_OWID!E75</f>
        <v>2169</v>
      </c>
      <c r="D77" s="38" t="n">
        <f aca="false">Modelo_SIRD!M77</f>
        <v>1265.92471230973</v>
      </c>
      <c r="E77" s="44" t="n">
        <f aca="false">LN(C77+1)</f>
        <v>7.68248244653451</v>
      </c>
      <c r="F77" s="44" t="n">
        <f aca="false">LN(D77+1)</f>
        <v>7.14434775654274</v>
      </c>
      <c r="G77" s="33" t="n">
        <f aca="false">(E77-F77)^2</f>
        <v>0.289588944572533</v>
      </c>
    </row>
    <row r="78" customFormat="false" ht="15" hidden="false" customHeight="false" outlineLevel="0" collapsed="false">
      <c r="B78" s="31" t="n">
        <f aca="false">Datos_OWID!B76</f>
        <v>71</v>
      </c>
      <c r="C78" s="38" t="n">
        <f aca="false">Datos_OWID!E76</f>
        <v>1889</v>
      </c>
      <c r="D78" s="38" t="n">
        <f aca="false">Modelo_SIRD!M78</f>
        <v>1116.47549623846</v>
      </c>
      <c r="E78" s="44" t="n">
        <f aca="false">LN(C78+1)</f>
        <v>7.54433210805369</v>
      </c>
      <c r="F78" s="44" t="n">
        <f aca="false">LN(D78+1)</f>
        <v>7.01882739894393</v>
      </c>
      <c r="G78" s="33" t="n">
        <f aca="false">(E78-F78)^2</f>
        <v>0.276155199296535</v>
      </c>
    </row>
    <row r="79" customFormat="false" ht="15" hidden="false" customHeight="false" outlineLevel="0" collapsed="false">
      <c r="B79" s="31" t="n">
        <f aca="false">Datos_OWID!B77</f>
        <v>72</v>
      </c>
      <c r="C79" s="38" t="n">
        <f aca="false">Datos_OWID!E77</f>
        <v>1782</v>
      </c>
      <c r="D79" s="38" t="n">
        <f aca="false">Modelo_SIRD!M79</f>
        <v>979.193538884021</v>
      </c>
      <c r="E79" s="44" t="n">
        <f aca="false">LN(C79+1)</f>
        <v>7.48605261786314</v>
      </c>
      <c r="F79" s="44" t="n">
        <f aca="false">LN(D79+1)</f>
        <v>6.88775004082346</v>
      </c>
      <c r="G79" s="33" t="n">
        <f aca="false">(E79-F79)^2</f>
        <v>0.357965973692317</v>
      </c>
    </row>
    <row r="80" customFormat="false" ht="15" hidden="false" customHeight="false" outlineLevel="0" collapsed="false">
      <c r="B80" s="31" t="n">
        <f aca="false">Datos_OWID!B78</f>
        <v>73</v>
      </c>
      <c r="C80" s="38" t="n">
        <f aca="false">Datos_OWID!E78</f>
        <v>1367</v>
      </c>
      <c r="D80" s="38" t="n">
        <f aca="false">Modelo_SIRD!M80</f>
        <v>856.735885757487</v>
      </c>
      <c r="E80" s="44" t="n">
        <f aca="false">LN(C80+1)</f>
        <v>7.2211050981825</v>
      </c>
      <c r="F80" s="44" t="n">
        <f aca="false">LN(D80+1)</f>
        <v>6.75429622664251</v>
      </c>
      <c r="G80" s="33" t="n">
        <f aca="false">(E80-F80)^2</f>
        <v>0.217910522548438</v>
      </c>
    </row>
    <row r="81" customFormat="false" ht="15" hidden="false" customHeight="false" outlineLevel="0" collapsed="false">
      <c r="B81" s="31" t="n">
        <f aca="false">Datos_OWID!B79</f>
        <v>74</v>
      </c>
      <c r="C81" s="38" t="n">
        <f aca="false">Datos_OWID!E79</f>
        <v>1205</v>
      </c>
      <c r="D81" s="38" t="n">
        <f aca="false">Modelo_SIRD!M81</f>
        <v>822.46701230295</v>
      </c>
      <c r="E81" s="44" t="n">
        <f aca="false">LN(C81+1)</f>
        <v>7.09506437728713</v>
      </c>
      <c r="F81" s="44" t="n">
        <f aca="false">LN(D81+1)</f>
        <v>6.71352349089544</v>
      </c>
      <c r="G81" s="33" t="n">
        <f aca="false">(E81-F81)^2</f>
        <v>0.145573447988557</v>
      </c>
    </row>
    <row r="82" customFormat="false" ht="15" hidden="false" customHeight="false" outlineLevel="0" collapsed="false">
      <c r="B82" s="31" t="n">
        <f aca="false">Datos_OWID!B80</f>
        <v>75</v>
      </c>
      <c r="C82" s="38" t="n">
        <f aca="false">Datos_OWID!E80</f>
        <v>1157</v>
      </c>
      <c r="D82" s="38" t="n">
        <f aca="false">Modelo_SIRD!M82</f>
        <v>784.547937628129</v>
      </c>
      <c r="E82" s="44" t="n">
        <f aca="false">LN(C82+1)</f>
        <v>7.05444965813294</v>
      </c>
      <c r="F82" s="44" t="n">
        <f aca="false">LN(D82+1)</f>
        <v>6.66638148400429</v>
      </c>
      <c r="G82" s="33" t="n">
        <f aca="false">(E82-F82)^2</f>
        <v>0.150596907771545</v>
      </c>
    </row>
    <row r="83" customFormat="false" ht="15" hidden="false" customHeight="false" outlineLevel="0" collapsed="false">
      <c r="B83" s="31" t="n">
        <f aca="false">Datos_OWID!B81</f>
        <v>76</v>
      </c>
      <c r="C83" s="38" t="n">
        <f aca="false">Datos_OWID!E81</f>
        <v>893</v>
      </c>
      <c r="D83" s="38" t="n">
        <f aca="false">Modelo_SIRD!M83</f>
        <v>748.75666647582</v>
      </c>
      <c r="E83" s="44" t="n">
        <f aca="false">LN(C83+1)</f>
        <v>6.79570577517351</v>
      </c>
      <c r="F83" s="44" t="n">
        <f aca="false">LN(D83+1)</f>
        <v>6.61974870918788</v>
      </c>
      <c r="G83" s="33" t="n">
        <f aca="false">(E83-F83)^2</f>
        <v>0.0309608890702725</v>
      </c>
    </row>
    <row r="84" customFormat="false" ht="15" hidden="false" customHeight="false" outlineLevel="0" collapsed="false">
      <c r="B84" s="31" t="n">
        <f aca="false">Datos_OWID!B82</f>
        <v>77</v>
      </c>
      <c r="C84" s="38" t="n">
        <f aca="false">Datos_OWID!E82</f>
        <v>684</v>
      </c>
      <c r="D84" s="38" t="n">
        <f aca="false">Modelo_SIRD!M84</f>
        <v>709.500702954334</v>
      </c>
      <c r="E84" s="44" t="n">
        <f aca="false">LN(C84+1)</f>
        <v>6.52941883826223</v>
      </c>
      <c r="F84" s="44" t="n">
        <f aca="false">LN(D84+1)</f>
        <v>6.56596993691645</v>
      </c>
      <c r="G84" s="33" t="n">
        <f aca="false">(E84-F84)^2</f>
        <v>0.0013359828128306</v>
      </c>
    </row>
    <row r="85" customFormat="false" ht="15" hidden="false" customHeight="false" outlineLevel="0" collapsed="false">
      <c r="B85" s="31" t="n">
        <f aca="false">Datos_OWID!B83</f>
        <v>78</v>
      </c>
      <c r="C85" s="38" t="n">
        <f aca="false">Datos_OWID!E83</f>
        <v>537</v>
      </c>
      <c r="D85" s="38" t="n">
        <f aca="false">Modelo_SIRD!M85</f>
        <v>662.837822906178</v>
      </c>
      <c r="E85" s="44" t="n">
        <f aca="false">LN(C85+1)</f>
        <v>6.28785856016178</v>
      </c>
      <c r="F85" s="44" t="n">
        <f aca="false">LN(D85+1)</f>
        <v>6.49803787703317</v>
      </c>
      <c r="G85" s="33" t="n">
        <f aca="false">(E85-F85)^2</f>
        <v>0.0441753452405233</v>
      </c>
    </row>
    <row r="86" customFormat="false" ht="15" hidden="false" customHeight="false" outlineLevel="0" collapsed="false">
      <c r="B86" s="31" t="n">
        <f aca="false">Datos_OWID!B84</f>
        <v>79</v>
      </c>
      <c r="C86" s="38" t="n">
        <f aca="false">Datos_OWID!E84</f>
        <v>418</v>
      </c>
      <c r="D86" s="38" t="n">
        <f aca="false">Modelo_SIRD!M86</f>
        <v>614.376177137718</v>
      </c>
      <c r="E86" s="44" t="n">
        <f aca="false">LN(C86+1)</f>
        <v>6.03787091992214</v>
      </c>
      <c r="F86" s="44" t="n">
        <f aca="false">LN(D86+1)</f>
        <v>6.42223375095522</v>
      </c>
      <c r="G86" s="33" t="n">
        <f aca="false">(E86-F86)^2</f>
        <v>0.147734785879762</v>
      </c>
    </row>
    <row r="87" customFormat="false" ht="15" hidden="false" customHeight="false" outlineLevel="0" collapsed="false">
      <c r="B87" s="31" t="n">
        <f aca="false">Datos_OWID!B85</f>
        <v>80</v>
      </c>
      <c r="C87" s="38" t="n">
        <f aca="false">Datos_OWID!E85</f>
        <v>290</v>
      </c>
      <c r="D87" s="38" t="n">
        <f aca="false">Modelo_SIRD!M87</f>
        <v>570.996478057292</v>
      </c>
      <c r="E87" s="44" t="n">
        <f aca="false">LN(C87+1)</f>
        <v>5.67332326717149</v>
      </c>
      <c r="F87" s="44" t="n">
        <f aca="false">LN(D87+1)</f>
        <v>6.34913283411835</v>
      </c>
      <c r="G87" s="33" t="n">
        <f aca="false">(E87-F87)^2</f>
        <v>0.456718570776892</v>
      </c>
    </row>
    <row r="88" customFormat="false" ht="15" hidden="false" customHeight="false" outlineLevel="0" collapsed="false">
      <c r="B88" s="31" t="n">
        <f aca="false">Datos_OWID!B86</f>
        <v>81</v>
      </c>
      <c r="C88" s="38" t="n">
        <f aca="false">Datos_OWID!E86</f>
        <v>218</v>
      </c>
      <c r="D88" s="38" t="n">
        <f aca="false">Modelo_SIRD!M88</f>
        <v>528.225520654742</v>
      </c>
      <c r="E88" s="44" t="n">
        <f aca="false">LN(C88+1)</f>
        <v>5.3890717298165</v>
      </c>
      <c r="F88" s="44" t="n">
        <f aca="false">LN(D88+1)</f>
        <v>6.27141465604918</v>
      </c>
      <c r="G88" s="33" t="n">
        <f aca="false">(E88-F88)^2</f>
        <v>0.778529039472849</v>
      </c>
    </row>
    <row r="89" customFormat="false" ht="15" hidden="false" customHeight="false" outlineLevel="0" collapsed="false">
      <c r="B89" s="31" t="n">
        <f aca="false">Datos_OWID!B87</f>
        <v>82</v>
      </c>
      <c r="C89" s="38" t="n">
        <f aca="false">Datos_OWID!E87</f>
        <v>127</v>
      </c>
      <c r="D89" s="38" t="n">
        <f aca="false">Modelo_SIRD!M89</f>
        <v>481.250919057682</v>
      </c>
      <c r="E89" s="44" t="n">
        <f aca="false">LN(C89+1)</f>
        <v>4.85203026391962</v>
      </c>
      <c r="F89" s="44" t="n">
        <f aca="false">LN(D89+1)</f>
        <v>6.17846455755423</v>
      </c>
      <c r="G89" s="33" t="n">
        <f aca="false">(E89-F89)^2</f>
        <v>1.75942793532995</v>
      </c>
    </row>
    <row r="90" customFormat="false" ht="15" hidden="false" customHeight="false" outlineLevel="0" collapsed="false">
      <c r="B90" s="31" t="n">
        <f aca="false">Datos_OWID!B88</f>
        <v>83</v>
      </c>
      <c r="C90" s="38" t="n">
        <f aca="false">Datos_OWID!E88</f>
        <v>87</v>
      </c>
      <c r="D90" s="38" t="n">
        <f aca="false">Modelo_SIRD!M90</f>
        <v>436.358804175688</v>
      </c>
      <c r="E90" s="44" t="n">
        <f aca="false">LN(C90+1)</f>
        <v>4.47733681447821</v>
      </c>
      <c r="F90" s="44" t="n">
        <f aca="false">LN(D90+1)</f>
        <v>6.08075392039535</v>
      </c>
      <c r="G90" s="33" t="n">
        <f aca="false">(E90-F90)^2</f>
        <v>2.57094641554772</v>
      </c>
    </row>
    <row r="91" customFormat="false" ht="15" hidden="false" customHeight="false" outlineLevel="0" collapsed="false">
      <c r="B91" s="31" t="n">
        <f aca="false">Datos_OWID!B89</f>
        <v>84</v>
      </c>
      <c r="C91" s="38" t="n">
        <f aca="false">Datos_OWID!E89</f>
        <v>84</v>
      </c>
      <c r="D91" s="38" t="n">
        <f aca="false">Modelo_SIRD!M91</f>
        <v>395.684855274594</v>
      </c>
      <c r="E91" s="44" t="n">
        <f aca="false">LN(C91+1)</f>
        <v>4.44265125649032</v>
      </c>
      <c r="F91" s="44" t="n">
        <f aca="false">LN(D91+1)</f>
        <v>5.98314215001965</v>
      </c>
      <c r="G91" s="33" t="n">
        <f aca="false">(E91-F91)^2</f>
        <v>2.3731121930468</v>
      </c>
    </row>
    <row r="92" customFormat="false" ht="15" hidden="false" customHeight="false" outlineLevel="0" collapsed="false">
      <c r="B92" s="31" t="n">
        <f aca="false">Datos_OWID!B90</f>
        <v>85</v>
      </c>
      <c r="C92" s="38" t="n">
        <f aca="false">Datos_OWID!E90</f>
        <v>86</v>
      </c>
      <c r="D92" s="38" t="n">
        <f aca="false">Modelo_SIRD!M92</f>
        <v>358.656744112057</v>
      </c>
      <c r="E92" s="44" t="n">
        <f aca="false">LN(C92+1)</f>
        <v>4.46590811865458</v>
      </c>
      <c r="F92" s="44" t="n">
        <f aca="false">LN(D92+1)</f>
        <v>5.88515008801314</v>
      </c>
      <c r="G92" s="33" t="n">
        <f aca="false">(E92-F92)^2</f>
        <v>2.01424776758876</v>
      </c>
    </row>
    <row r="93" customFormat="false" ht="15" hidden="false" customHeight="false" outlineLevel="0" collapsed="false">
      <c r="B93" s="31" t="n">
        <f aca="false">Datos_OWID!B91</f>
        <v>86</v>
      </c>
      <c r="C93" s="38" t="n">
        <f aca="false">Datos_OWID!E91</f>
        <v>70</v>
      </c>
      <c r="D93" s="38" t="n">
        <f aca="false">Modelo_SIRD!M93</f>
        <v>326.367270736155</v>
      </c>
      <c r="E93" s="44" t="n">
        <f aca="false">LN(C93+1)</f>
        <v>4.26267987704132</v>
      </c>
      <c r="F93" s="44" t="n">
        <f aca="false">LN(D93+1)</f>
        <v>5.79108269273215</v>
      </c>
      <c r="G93" s="33" t="n">
        <f aca="false">(E93-F93)^2</f>
        <v>2.33601516701166</v>
      </c>
    </row>
    <row r="94" customFormat="false" ht="15" hidden="false" customHeight="false" outlineLevel="0" collapsed="false">
      <c r="B94" s="31" t="n">
        <f aca="false">Datos_OWID!B92</f>
        <v>87</v>
      </c>
      <c r="C94" s="38" t="n">
        <f aca="false">Datos_OWID!E92</f>
        <v>62</v>
      </c>
      <c r="D94" s="38" t="n">
        <f aca="false">Modelo_SIRD!M94</f>
        <v>295.490420285205</v>
      </c>
      <c r="E94" s="44" t="n">
        <f aca="false">LN(C94+1)</f>
        <v>4.14313472639153</v>
      </c>
      <c r="F94" s="44" t="n">
        <f aca="false">LN(D94+1)</f>
        <v>5.69201490859105</v>
      </c>
      <c r="G94" s="33" t="n">
        <f aca="false">(E94-F94)^2</f>
        <v>2.39902981881041</v>
      </c>
    </row>
    <row r="95" customFormat="false" ht="15" hidden="false" customHeight="false" outlineLevel="0" collapsed="false">
      <c r="B95" s="31" t="n">
        <f aca="false">Datos_OWID!B93</f>
        <v>88</v>
      </c>
      <c r="C95" s="38" t="n">
        <f aca="false">Datos_OWID!E93</f>
        <v>64</v>
      </c>
      <c r="D95" s="38" t="n">
        <f aca="false">Modelo_SIRD!M95</f>
        <v>269.719985284508</v>
      </c>
      <c r="E95" s="44" t="n">
        <f aca="false">LN(C95+1)</f>
        <v>4.17438726989564</v>
      </c>
      <c r="F95" s="44" t="n">
        <f aca="false">LN(D95+1)</f>
        <v>5.60108502206099</v>
      </c>
      <c r="G95" s="33" t="n">
        <f aca="false">(E95-F95)^2</f>
        <v>2.03546647603366</v>
      </c>
    </row>
    <row r="96" customFormat="false" ht="15" hidden="false" customHeight="false" outlineLevel="0" collapsed="false">
      <c r="B96" s="31" t="n">
        <f aca="false">Datos_OWID!B94</f>
        <v>89</v>
      </c>
      <c r="C96" s="38" t="n">
        <f aca="false">Datos_OWID!E94</f>
        <v>82</v>
      </c>
      <c r="D96" s="38" t="n">
        <f aca="false">Modelo_SIRD!M96</f>
        <v>246.587747208541</v>
      </c>
      <c r="E96" s="44" t="n">
        <f aca="false">LN(C96+1)</f>
        <v>4.4188406077966</v>
      </c>
      <c r="F96" s="44" t="n">
        <f aca="false">LN(D96+1)</f>
        <v>5.51176505335228</v>
      </c>
      <c r="G96" s="33" t="n">
        <f aca="false">(E96-F96)^2</f>
        <v>1.19448384369319</v>
      </c>
    </row>
    <row r="97" customFormat="false" ht="15" hidden="false" customHeight="false" outlineLevel="0" collapsed="false">
      <c r="B97" s="31" t="n">
        <f aca="false">Datos_OWID!B95</f>
        <v>90</v>
      </c>
      <c r="C97" s="38" t="n">
        <f aca="false">Datos_OWID!E95</f>
        <v>99</v>
      </c>
      <c r="D97" s="38" t="n">
        <f aca="false">Modelo_SIRD!M97</f>
        <v>225.937311261237</v>
      </c>
      <c r="E97" s="44" t="n">
        <f aca="false">LN(C97+1)</f>
        <v>4.60517018598809</v>
      </c>
      <c r="F97" s="44" t="n">
        <f aca="false">LN(D97+1)</f>
        <v>5.42467381749693</v>
      </c>
      <c r="G97" s="33" t="n">
        <f aca="false">(E97-F97)^2</f>
        <v>0.671586202056174</v>
      </c>
    </row>
    <row r="98" customFormat="false" ht="15" hidden="false" customHeight="false" outlineLevel="0" collapsed="false">
      <c r="B98" s="31" t="n">
        <f aca="false">Datos_OWID!B96</f>
        <v>91</v>
      </c>
      <c r="C98" s="38" t="n">
        <f aca="false">Datos_OWID!E96</f>
        <v>114</v>
      </c>
      <c r="D98" s="38" t="n">
        <f aca="false">Modelo_SIRD!M98</f>
        <v>206.726229427281</v>
      </c>
      <c r="E98" s="44" t="n">
        <f aca="false">LN(C98+1)</f>
        <v>4.74493212836325</v>
      </c>
      <c r="F98" s="44" t="n">
        <f aca="false">LN(D98+1)</f>
        <v>5.33622100806659</v>
      </c>
      <c r="G98" s="33" t="n">
        <f aca="false">(E98-F98)^2</f>
        <v>0.349622539260835</v>
      </c>
    </row>
    <row r="99" customFormat="false" ht="15" hidden="false" customHeight="false" outlineLevel="0" collapsed="false">
      <c r="B99" s="31" t="n">
        <f aca="false">Datos_OWID!B97</f>
        <v>92</v>
      </c>
      <c r="C99" s="38" t="n">
        <f aca="false">Datos_OWID!E97</f>
        <v>117</v>
      </c>
      <c r="D99" s="38" t="n">
        <f aca="false">Modelo_SIRD!M99</f>
        <v>188.03186971588</v>
      </c>
      <c r="E99" s="44" t="n">
        <f aca="false">LN(C99+1)</f>
        <v>4.77068462446567</v>
      </c>
      <c r="F99" s="44" t="n">
        <f aca="false">LN(D99+1)</f>
        <v>5.24191562367975</v>
      </c>
      <c r="G99" s="33" t="n">
        <f aca="false">(E99-F99)^2</f>
        <v>0.222058654620308</v>
      </c>
    </row>
    <row r="100" customFormat="false" ht="15" hidden="false" customHeight="false" outlineLevel="0" collapsed="false">
      <c r="B100" s="31" t="n">
        <f aca="false">Datos_OWID!B98</f>
        <v>93</v>
      </c>
      <c r="C100" s="38" t="n">
        <f aca="false">Datos_OWID!E98</f>
        <v>135</v>
      </c>
      <c r="D100" s="38" t="n">
        <f aca="false">Modelo_SIRD!M100</f>
        <v>171.191660931305</v>
      </c>
      <c r="E100" s="44" t="n">
        <f aca="false">LN(C100+1)</f>
        <v>4.91265488573605</v>
      </c>
      <c r="F100" s="44" t="n">
        <f aca="false">LN(D100+1)</f>
        <v>5.14860816417355</v>
      </c>
      <c r="G100" s="33" t="n">
        <f aca="false">(E100-F100)^2</f>
        <v>0.0556739496054019</v>
      </c>
    </row>
    <row r="101" customFormat="false" ht="15" hidden="false" customHeight="false" outlineLevel="0" collapsed="false">
      <c r="B101" s="31" t="n">
        <f aca="false">Datos_OWID!B99</f>
        <v>94</v>
      </c>
      <c r="C101" s="38" t="n">
        <f aca="false">Datos_OWID!E99</f>
        <v>163</v>
      </c>
      <c r="D101" s="38" t="n">
        <f aca="false">Modelo_SIRD!M101</f>
        <v>153.394795110318</v>
      </c>
      <c r="E101" s="44" t="n">
        <f aca="false">LN(C101+1)</f>
        <v>5.0998664278242</v>
      </c>
      <c r="F101" s="44" t="n">
        <f aca="false">LN(D101+1)</f>
        <v>5.03951292659707</v>
      </c>
      <c r="G101" s="33" t="n">
        <f aca="false">(E101-F101)^2</f>
        <v>0.00364254511037341</v>
      </c>
    </row>
    <row r="102" customFormat="false" ht="15" hidden="false" customHeight="false" outlineLevel="0" collapsed="false">
      <c r="B102" s="31" t="n">
        <f aca="false">Datos_OWID!B100</f>
        <v>95</v>
      </c>
      <c r="C102" s="38" t="n">
        <f aca="false">Datos_OWID!E100</f>
        <v>233</v>
      </c>
      <c r="D102" s="38" t="n">
        <f aca="false">Modelo_SIRD!M102</f>
        <v>138.427664214993</v>
      </c>
      <c r="E102" s="44" t="n">
        <f aca="false">LN(C102+1)</f>
        <v>5.4553211153577</v>
      </c>
      <c r="F102" s="44" t="n">
        <f aca="false">LN(D102+1)</f>
        <v>4.93754593068184</v>
      </c>
      <c r="G102" s="33" t="n">
        <f aca="false">(E102-F102)^2</f>
        <v>0.268091141866118</v>
      </c>
    </row>
    <row r="103" customFormat="false" ht="15" hidden="false" customHeight="false" outlineLevel="0" collapsed="false">
      <c r="B103" s="31" t="n">
        <f aca="false">Datos_OWID!B101</f>
        <v>96</v>
      </c>
      <c r="C103" s="38" t="n">
        <f aca="false">Datos_OWID!E101</f>
        <v>421</v>
      </c>
      <c r="D103" s="38" t="n">
        <f aca="false">Modelo_SIRD!M103</f>
        <v>142.020703276619</v>
      </c>
      <c r="E103" s="44" t="n">
        <f aca="false">LN(C103+1)</f>
        <v>6.04500531403601</v>
      </c>
      <c r="F103" s="44" t="n">
        <f aca="false">LN(D103+1)</f>
        <v>4.96298939793874</v>
      </c>
      <c r="G103" s="33" t="n">
        <f aca="false">(E103-F103)^2</f>
        <v>1.17075844268782</v>
      </c>
    </row>
    <row r="104" customFormat="false" ht="15" hidden="false" customHeight="false" outlineLevel="0" collapsed="false">
      <c r="B104" s="31" t="n">
        <f aca="false">Datos_OWID!B102</f>
        <v>97</v>
      </c>
      <c r="C104" s="38" t="n">
        <f aca="false">Datos_OWID!E102</f>
        <v>1003</v>
      </c>
      <c r="D104" s="38" t="n">
        <f aca="false">Modelo_SIRD!M104</f>
        <v>146.118032176455</v>
      </c>
      <c r="E104" s="44" t="n">
        <f aca="false">LN(C104+1)</f>
        <v>6.91174730025167</v>
      </c>
      <c r="F104" s="44" t="n">
        <f aca="false">LN(D104+1)</f>
        <v>4.99123520457077</v>
      </c>
      <c r="G104" s="33" t="n">
        <f aca="false">(E104-F104)^2</f>
        <v>3.68836670965666</v>
      </c>
    </row>
    <row r="105" customFormat="false" ht="15" hidden="false" customHeight="false" outlineLevel="0" collapsed="false">
      <c r="B105" s="31" t="n">
        <f aca="false">Datos_OWID!B103</f>
        <v>98</v>
      </c>
      <c r="C105" s="38" t="n">
        <f aca="false">Datos_OWID!E103</f>
        <v>1808</v>
      </c>
      <c r="D105" s="38" t="n">
        <f aca="false">Modelo_SIRD!M105</f>
        <v>150.310087760168</v>
      </c>
      <c r="E105" s="44" t="n">
        <f aca="false">LN(C105+1)</f>
        <v>7.5005294853953</v>
      </c>
      <c r="F105" s="44" t="n">
        <f aca="false">LN(D105+1)</f>
        <v>5.01933129246575</v>
      </c>
      <c r="G105" s="33" t="n">
        <f aca="false">(E105-F105)^2</f>
        <v>6.15634447259686</v>
      </c>
    </row>
    <row r="106" customFormat="false" ht="15" hidden="false" customHeight="false" outlineLevel="0" collapsed="false">
      <c r="B106" s="31" t="n">
        <f aca="false">Datos_OWID!B104</f>
        <v>99</v>
      </c>
      <c r="C106" s="38" t="n">
        <f aca="false">Datos_OWID!E104</f>
        <v>2464</v>
      </c>
      <c r="D106" s="38" t="n">
        <f aca="false">Modelo_SIRD!M106</f>
        <v>155.397027093466</v>
      </c>
      <c r="E106" s="44" t="n">
        <f aca="false">LN(C106+1)</f>
        <v>7.80994708647679</v>
      </c>
      <c r="F106" s="44" t="n">
        <f aca="false">LN(D106+1)</f>
        <v>5.05239781957675</v>
      </c>
      <c r="G106" s="33" t="n">
        <f aca="false">(E106-F106)^2</f>
        <v>7.60407795938094</v>
      </c>
    </row>
    <row r="107" customFormat="false" ht="15" hidden="false" customHeight="false" outlineLevel="0" collapsed="false">
      <c r="B107" s="31" t="n">
        <f aca="false">Datos_OWID!B105</f>
        <v>100</v>
      </c>
      <c r="C107" s="38" t="n">
        <f aca="false">Datos_OWID!E105</f>
        <v>1988</v>
      </c>
      <c r="D107" s="38" t="n">
        <f aca="false">Modelo_SIRD!M107</f>
        <v>160.089530814104</v>
      </c>
      <c r="E107" s="44" t="n">
        <f aca="false">LN(C107+1)</f>
        <v>7.59538727885397</v>
      </c>
      <c r="F107" s="44" t="n">
        <f aca="false">LN(D107+1)</f>
        <v>5.08196030243567</v>
      </c>
      <c r="G107" s="33" t="n">
        <f aca="false">(E107-F107)^2</f>
        <v>6.31731516578726</v>
      </c>
    </row>
    <row r="108" customFormat="false" ht="15" hidden="false" customHeight="false" outlineLevel="0" collapsed="false">
      <c r="B108" s="31" t="n">
        <f aca="false">Datos_OWID!B106</f>
        <v>101</v>
      </c>
      <c r="C108" s="38" t="n">
        <f aca="false">Datos_OWID!E106</f>
        <v>1212</v>
      </c>
      <c r="D108" s="38" t="n">
        <f aca="false">Modelo_SIRD!M108</f>
        <v>163.985794302047</v>
      </c>
      <c r="E108" s="44" t="n">
        <f aca="false">LN(C108+1)</f>
        <v>7.10085190894405</v>
      </c>
      <c r="F108" s="44" t="n">
        <f aca="false">LN(D108+1)</f>
        <v>5.10585937505507</v>
      </c>
      <c r="G108" s="33" t="n">
        <f aca="false">(E108-F108)^2</f>
        <v>3.97999521027277</v>
      </c>
    </row>
    <row r="109" customFormat="false" ht="15" hidden="false" customHeight="false" outlineLevel="0" collapsed="false">
      <c r="B109" s="31" t="n">
        <f aca="false">Datos_OWID!B107</f>
        <v>102</v>
      </c>
      <c r="C109" s="38" t="n">
        <f aca="false">Datos_OWID!E107</f>
        <v>628</v>
      </c>
      <c r="D109" s="38" t="n">
        <f aca="false">Modelo_SIRD!M109</f>
        <v>168.680818641849</v>
      </c>
      <c r="E109" s="44" t="n">
        <f aca="false">LN(C109+1)</f>
        <v>6.44413125670044</v>
      </c>
      <c r="F109" s="44" t="n">
        <f aca="false">LN(D109+1)</f>
        <v>5.13391913486672</v>
      </c>
      <c r="G109" s="33" t="n">
        <f aca="false">(E109-F109)^2</f>
        <v>1.71665580420002</v>
      </c>
    </row>
    <row r="110" customFormat="false" ht="15" hidden="false" customHeight="false" outlineLevel="0" collapsed="false">
      <c r="B110" s="31" t="n">
        <f aca="false">Datos_OWID!B108</f>
        <v>103</v>
      </c>
      <c r="C110" s="38" t="n">
        <f aca="false">Datos_OWID!E108</f>
        <v>454</v>
      </c>
      <c r="D110" s="38" t="n">
        <f aca="false">Modelo_SIRD!M110</f>
        <v>173.75874059349</v>
      </c>
      <c r="E110" s="44" t="n">
        <f aca="false">LN(C110+1)</f>
        <v>6.12029741895095</v>
      </c>
      <c r="F110" s="44" t="n">
        <f aca="false">LN(D110+1)</f>
        <v>5.16340639756545</v>
      </c>
      <c r="G110" s="33" t="n">
        <f aca="false">(E110-F110)^2</f>
        <v>0.915640426808184</v>
      </c>
    </row>
    <row r="111" customFormat="false" ht="15" hidden="false" customHeight="false" outlineLevel="0" collapsed="false">
      <c r="B111" s="31" t="n">
        <f aca="false">Datos_OWID!B109</f>
        <v>104</v>
      </c>
      <c r="C111" s="38" t="n">
        <f aca="false">Datos_OWID!E109</f>
        <v>223</v>
      </c>
      <c r="D111" s="38" t="n">
        <f aca="false">Modelo_SIRD!M111</f>
        <v>178.743145351924</v>
      </c>
      <c r="E111" s="44" t="n">
        <f aca="false">LN(C111+1)</f>
        <v>5.41164605185504</v>
      </c>
      <c r="F111" s="44" t="n">
        <f aca="false">LN(D111+1)</f>
        <v>5.19152886153146</v>
      </c>
      <c r="G111" s="33" t="n">
        <f aca="false">(E111-F111)^2</f>
        <v>0.0484515774759476</v>
      </c>
    </row>
    <row r="112" customFormat="false" ht="15" hidden="false" customHeight="false" outlineLevel="0" collapsed="false">
      <c r="B112" s="31" t="n">
        <f aca="false">Datos_OWID!B110</f>
        <v>105</v>
      </c>
      <c r="C112" s="38" t="n">
        <f aca="false">Datos_OWID!E110</f>
        <v>113</v>
      </c>
      <c r="D112" s="38" t="n">
        <f aca="false">Modelo_SIRD!M112</f>
        <v>183.841763575052</v>
      </c>
      <c r="E112" s="44" t="n">
        <f aca="false">LN(C112+1)</f>
        <v>4.7361984483945</v>
      </c>
      <c r="F112" s="44" t="n">
        <f aca="false">LN(D112+1)</f>
        <v>5.21950012704642</v>
      </c>
      <c r="G112" s="33" t="n">
        <f aca="false">(E112-F112)^2</f>
        <v>0.23358051258777</v>
      </c>
    </row>
    <row r="113" customFormat="false" ht="15" hidden="false" customHeight="false" outlineLevel="0" collapsed="false">
      <c r="B113" s="31" t="n">
        <f aca="false">Datos_OWID!B111</f>
        <v>106</v>
      </c>
      <c r="C113" s="38" t="n">
        <f aca="false">Datos_OWID!E111</f>
        <v>71</v>
      </c>
      <c r="D113" s="38" t="n">
        <f aca="false">Modelo_SIRD!M113</f>
        <v>188.750443246856</v>
      </c>
      <c r="E113" s="44" t="n">
        <f aca="false">LN(C113+1)</f>
        <v>4.27666611901606</v>
      </c>
      <c r="F113" s="44" t="n">
        <f aca="false">LN(D113+1)</f>
        <v>5.24570975222482</v>
      </c>
      <c r="G113" s="33" t="n">
        <f aca="false">(E113-F113)^2</f>
        <v>0.939045563062445</v>
      </c>
    </row>
    <row r="114" customFormat="false" ht="15" hidden="false" customHeight="false" outlineLevel="0" collapsed="false">
      <c r="B114" s="31" t="n">
        <f aca="false">Datos_OWID!B112</f>
        <v>107</v>
      </c>
      <c r="C114" s="38" t="n">
        <f aca="false">Datos_OWID!E112</f>
        <v>51</v>
      </c>
      <c r="D114" s="38" t="n">
        <f aca="false">Modelo_SIRD!M114</f>
        <v>193.647018079588</v>
      </c>
      <c r="E114" s="44" t="n">
        <f aca="false">LN(C114+1)</f>
        <v>3.95124371858143</v>
      </c>
      <c r="F114" s="44" t="n">
        <f aca="false">LN(D114+1)</f>
        <v>5.27118775454322</v>
      </c>
      <c r="G114" s="33" t="n">
        <f aca="false">(E114-F114)^2</f>
        <v>1.74225225807111</v>
      </c>
    </row>
    <row r="115" customFormat="false" ht="15" hidden="false" customHeight="false" outlineLevel="0" collapsed="false">
      <c r="B115" s="31" t="n">
        <f aca="false">Datos_OWID!B113</f>
        <v>108</v>
      </c>
      <c r="C115" s="38" t="n">
        <f aca="false">Datos_OWID!E113</f>
        <v>33</v>
      </c>
      <c r="D115" s="38" t="n">
        <f aca="false">Modelo_SIRD!M115</f>
        <v>198.355481682491</v>
      </c>
      <c r="E115" s="44" t="n">
        <f aca="false">LN(C115+1)</f>
        <v>3.52636052461616</v>
      </c>
      <c r="F115" s="44" t="n">
        <f aca="false">LN(D115+1)</f>
        <v>5.29508957122955</v>
      </c>
      <c r="G115" s="33" t="n">
        <f aca="false">(E115-F115)^2</f>
        <v>3.1284024403339</v>
      </c>
    </row>
    <row r="116" customFormat="false" ht="15" hidden="false" customHeight="false" outlineLevel="0" collapsed="false">
      <c r="B116" s="31" t="n">
        <f aca="false">Datos_OWID!B114</f>
        <v>109</v>
      </c>
      <c r="C116" s="38" t="n">
        <f aca="false">Datos_OWID!E114</f>
        <v>31</v>
      </c>
      <c r="D116" s="38" t="n">
        <f aca="false">Modelo_SIRD!M116</f>
        <v>151.985049091643</v>
      </c>
      <c r="E116" s="44" t="n">
        <f aca="false">LN(C116+1)</f>
        <v>3.46573590279973</v>
      </c>
      <c r="F116" s="44" t="n">
        <f aca="false">LN(D116+1)</f>
        <v>5.03034019826241</v>
      </c>
      <c r="G116" s="33" t="n">
        <f aca="false">(E116-F116)^2</f>
        <v>2.44798660138029</v>
      </c>
    </row>
    <row r="117" customFormat="false" ht="15" hidden="false" customHeight="false" outlineLevel="0" collapsed="false">
      <c r="B117" s="31" t="n">
        <f aca="false">Datos_OWID!B115</f>
        <v>110</v>
      </c>
      <c r="C117" s="38" t="n">
        <f aca="false">Datos_OWID!E115</f>
        <v>11</v>
      </c>
      <c r="D117" s="38" t="n">
        <f aca="false">Modelo_SIRD!M117</f>
        <v>116.347083220637</v>
      </c>
      <c r="E117" s="44" t="n">
        <f aca="false">LN(C117+1)</f>
        <v>2.484906649788</v>
      </c>
      <c r="F117" s="44" t="n">
        <f aca="false">LN(D117+1)</f>
        <v>4.7651360666037</v>
      </c>
      <c r="G117" s="33" t="n">
        <f aca="false">(E117-F117)^2</f>
        <v>5.19944619331166</v>
      </c>
    </row>
    <row r="118" customFormat="false" ht="15" hidden="false" customHeight="false" outlineLevel="0" collapsed="false">
      <c r="B118" s="31" t="n">
        <f aca="false">Datos_OWID!B116</f>
        <v>111</v>
      </c>
      <c r="C118" s="38" t="n">
        <f aca="false">Datos_OWID!E116</f>
        <v>3</v>
      </c>
      <c r="D118" s="38" t="n">
        <f aca="false">Modelo_SIRD!M118</f>
        <v>89.0034276142833</v>
      </c>
      <c r="E118" s="44" t="n">
        <f aca="false">LN(C118+1)</f>
        <v>1.38629436111989</v>
      </c>
      <c r="F118" s="44" t="n">
        <f aca="false">LN(D118+1)</f>
        <v>4.49984775420821</v>
      </c>
      <c r="G118" s="33" t="n">
        <f aca="false">(E118-F118)^2</f>
        <v>9.6942147316118</v>
      </c>
    </row>
    <row r="119" customFormat="false" ht="15" hidden="false" customHeight="false" outlineLevel="0" collapsed="false">
      <c r="B119" s="31" t="n">
        <f aca="false">Datos_OWID!B117</f>
        <v>112</v>
      </c>
      <c r="C119" s="38" t="n">
        <f aca="false">Datos_OWID!E117</f>
        <v>198</v>
      </c>
      <c r="D119" s="38" t="n">
        <f aca="false">Modelo_SIRD!M119</f>
        <v>68.121653792492</v>
      </c>
      <c r="E119" s="44" t="n">
        <f aca="false">LN(C119+1)</f>
        <v>5.29330482472449</v>
      </c>
      <c r="F119" s="44" t="n">
        <f aca="false">LN(D119+1)</f>
        <v>4.23586805060558</v>
      </c>
      <c r="G119" s="33" t="n">
        <f aca="false">(E119-F119)^2</f>
        <v>1.11817253125902</v>
      </c>
    </row>
    <row r="120" customFormat="false" ht="15" hidden="false" customHeight="false" outlineLevel="0" collapsed="false">
      <c r="B120" s="31" t="n">
        <f aca="false">Datos_OWID!B118</f>
        <v>113</v>
      </c>
      <c r="C120" s="38" t="n">
        <f aca="false">Datos_OWID!E118</f>
        <v>111</v>
      </c>
      <c r="D120" s="38" t="n">
        <f aca="false">Modelo_SIRD!M120</f>
        <v>52.1141214351082</v>
      </c>
      <c r="E120" s="44" t="n">
        <f aca="false">LN(C120+1)</f>
        <v>4.71849887129509</v>
      </c>
      <c r="F120" s="44" t="n">
        <f aca="false">LN(D120+1)</f>
        <v>3.97244283328953</v>
      </c>
      <c r="G120" s="33" t="n">
        <f aca="false">(E120-F120)^2</f>
        <v>0.556599611844556</v>
      </c>
    </row>
    <row r="121" customFormat="false" ht="15" hidden="false" customHeight="false" outlineLevel="0" collapsed="false">
      <c r="B121" s="31" t="n">
        <f aca="false">Datos_OWID!B119</f>
        <v>114</v>
      </c>
      <c r="C121" s="38" t="n">
        <f aca="false">Datos_OWID!E119</f>
        <v>76</v>
      </c>
      <c r="D121" s="38" t="n">
        <f aca="false">Modelo_SIRD!M121</f>
        <v>39.8671019459725</v>
      </c>
      <c r="E121" s="44" t="n">
        <f aca="false">LN(C121+1)</f>
        <v>4.34380542185368</v>
      </c>
      <c r="F121" s="44" t="n">
        <f aca="false">LN(D121+1)</f>
        <v>3.71032538598378</v>
      </c>
      <c r="G121" s="33" t="n">
        <f aca="false">(E121-F121)^2</f>
        <v>0.401296955845731</v>
      </c>
    </row>
    <row r="122" customFormat="false" ht="15" hidden="false" customHeight="false" outlineLevel="0" collapsed="false">
      <c r="B122" s="31" t="n">
        <f aca="false">Datos_OWID!B120</f>
        <v>115</v>
      </c>
      <c r="C122" s="38" t="n">
        <f aca="false">Datos_OWID!E120</f>
        <v>47</v>
      </c>
      <c r="D122" s="38" t="n">
        <f aca="false">Modelo_SIRD!M122</f>
        <v>30.5140307868569</v>
      </c>
      <c r="E122" s="44" t="n">
        <f aca="false">LN(C122+1)</f>
        <v>3.87120101090789</v>
      </c>
      <c r="F122" s="44" t="n">
        <f aca="false">LN(D122+1)</f>
        <v>3.45043286846572</v>
      </c>
      <c r="G122" s="33" t="n">
        <f aca="false">(E122-F122)^2</f>
        <v>0.177045829694232</v>
      </c>
    </row>
    <row r="123" customFormat="false" ht="15" hidden="false" customHeight="false" outlineLevel="0" collapsed="false">
      <c r="B123" s="31" t="n">
        <f aca="false">Datos_OWID!B121</f>
        <v>116</v>
      </c>
      <c r="C123" s="38" t="n">
        <f aca="false">Datos_OWID!E121</f>
        <v>49</v>
      </c>
      <c r="D123" s="38" t="n">
        <f aca="false">Modelo_SIRD!M123</f>
        <v>23.337214159561</v>
      </c>
      <c r="E123" s="44" t="n">
        <f aca="false">LN(C123+1)</f>
        <v>3.91202300542815</v>
      </c>
      <c r="F123" s="44" t="n">
        <f aca="false">LN(D123+1)</f>
        <v>3.1920066257731</v>
      </c>
      <c r="G123" s="33" t="n">
        <f aca="false">(E123-F123)^2</f>
        <v>0.518423586971567</v>
      </c>
    </row>
    <row r="124" customFormat="false" ht="15" hidden="false" customHeight="false" outlineLevel="0" collapsed="false">
      <c r="B124" s="31" t="n">
        <f aca="false">Datos_OWID!B122</f>
        <v>117</v>
      </c>
      <c r="C124" s="38" t="n">
        <f aca="false">Datos_OWID!E122</f>
        <v>64</v>
      </c>
      <c r="D124" s="38" t="n">
        <f aca="false">Modelo_SIRD!M124</f>
        <v>17.8483576855651</v>
      </c>
      <c r="E124" s="44" t="n">
        <f aca="false">LN(C124+1)</f>
        <v>4.17438726989564</v>
      </c>
      <c r="F124" s="44" t="n">
        <f aca="false">LN(D124+1)</f>
        <v>2.93642578466417</v>
      </c>
      <c r="G124" s="33" t="n">
        <f aca="false">(E124-F124)^2</f>
        <v>1.5325486389165</v>
      </c>
    </row>
    <row r="125" customFormat="false" ht="15" hidden="false" customHeight="false" outlineLevel="0" collapsed="false">
      <c r="B125" s="31" t="n">
        <f aca="false">Datos_OWID!B123</f>
        <v>118</v>
      </c>
      <c r="C125" s="38" t="n">
        <f aca="false">Datos_OWID!E123</f>
        <v>0</v>
      </c>
      <c r="D125" s="38" t="n">
        <f aca="false">Modelo_SIRD!M125</f>
        <v>13.6432900748478</v>
      </c>
      <c r="E125" s="44" t="n">
        <f aca="false">LN(C125+1)</f>
        <v>0</v>
      </c>
      <c r="F125" s="44" t="n">
        <f aca="false">LN(D125+1)</f>
        <v>2.68398221517325</v>
      </c>
      <c r="G125" s="33" t="n">
        <f aca="false">(E125-F125)^2</f>
        <v>7.20376053136628</v>
      </c>
    </row>
    <row r="127" customFormat="false" ht="15" hidden="false" customHeight="false" outlineLevel="0" collapsed="false">
      <c r="B127" s="18" t="s">
        <v>186</v>
      </c>
      <c r="D127" s="45" t="n">
        <f aca="false">SUM(G8:G125)</f>
        <v>188.882187147638</v>
      </c>
      <c r="G127" s="18" t="s">
        <v>187</v>
      </c>
    </row>
    <row r="128" customFormat="false" ht="15" hidden="false" customHeight="false" outlineLevel="0" collapsed="false">
      <c r="B128" s="2" t="s">
        <v>188</v>
      </c>
      <c r="D128" s="44" t="n">
        <f aca="false">SQRT(Calibracion!$D$127/118)</f>
        <v>1.26518635040502</v>
      </c>
    </row>
    <row r="129" customFormat="false" ht="15" hidden="false" customHeight="false" outlineLevel="0" collapsed="false">
      <c r="B129" s="2" t="s">
        <v>189</v>
      </c>
      <c r="D129" s="34" t="n">
        <f aca="false">(Modelo_SIRD!$D$129-Modelo_SIRD!$D$130)/Modelo_SIRD!$D$130</f>
        <v>-0.13878276969913</v>
      </c>
    </row>
    <row r="130" customFormat="false" ht="15" hidden="false" customHeight="false" outlineLevel="0" collapsed="false">
      <c r="G130" s="8" t="s">
        <v>190</v>
      </c>
    </row>
    <row r="132" customFormat="false" ht="17.35" hidden="false" customHeight="false" outlineLevel="0" collapsed="false">
      <c r="B132" s="1" t="s">
        <v>191</v>
      </c>
    </row>
    <row r="134" customFormat="false" ht="15" hidden="false" customHeight="false" outlineLevel="0" collapsed="false">
      <c r="B134" s="18" t="s">
        <v>192</v>
      </c>
    </row>
    <row r="135" customFormat="false" ht="15" hidden="false" customHeight="false" outlineLevel="0" collapsed="false">
      <c r="B135" s="2" t="s">
        <v>193</v>
      </c>
    </row>
    <row r="136" customFormat="false" ht="15" hidden="false" customHeight="false" outlineLevel="0" collapsed="false">
      <c r="B136" s="2"/>
    </row>
    <row r="137" customFormat="false" ht="15" hidden="false" customHeight="false" outlineLevel="0" collapsed="false">
      <c r="B137" s="18" t="s">
        <v>194</v>
      </c>
    </row>
    <row r="138" customFormat="false" ht="15" hidden="false" customHeight="false" outlineLevel="0" collapsed="false">
      <c r="B138" s="2" t="s">
        <v>195</v>
      </c>
    </row>
    <row r="139" customFormat="false" ht="15" hidden="false" customHeight="false" outlineLevel="0" collapsed="false">
      <c r="B139" s="2" t="s">
        <v>196</v>
      </c>
    </row>
    <row r="140" customFormat="false" ht="15" hidden="false" customHeight="false" outlineLevel="0" collapsed="false">
      <c r="B140" s="2" t="s">
        <v>197</v>
      </c>
    </row>
    <row r="141" customFormat="false" ht="15" hidden="false" customHeight="false" outlineLevel="0" collapsed="false">
      <c r="B141" s="2"/>
    </row>
    <row r="142" customFormat="false" ht="15" hidden="false" customHeight="false" outlineLevel="0" collapsed="false">
      <c r="B142" s="18" t="s">
        <v>198</v>
      </c>
    </row>
    <row r="143" customFormat="false" ht="15" hidden="false" customHeight="false" outlineLevel="0" collapsed="false">
      <c r="B143" s="2" t="s">
        <v>199</v>
      </c>
    </row>
    <row r="144" customFormat="false" ht="15" hidden="false" customHeight="false" outlineLevel="0" collapsed="false">
      <c r="B144" s="2" t="s">
        <v>200</v>
      </c>
    </row>
    <row r="145" customFormat="false" ht="15" hidden="false" customHeight="false" outlineLevel="0" collapsed="false">
      <c r="B145" s="2"/>
    </row>
    <row r="146" customFormat="false" ht="15" hidden="false" customHeight="false" outlineLevel="0" collapsed="false">
      <c r="B146" s="18" t="s">
        <v>201</v>
      </c>
    </row>
    <row r="147" customFormat="false" ht="15" hidden="false" customHeight="false" outlineLevel="0" collapsed="false">
      <c r="B147" s="2" t="s">
        <v>202</v>
      </c>
    </row>
    <row r="148" customFormat="false" ht="15" hidden="false" customHeight="false" outlineLevel="0" collapsed="false">
      <c r="B148" s="2" t="s">
        <v>203</v>
      </c>
    </row>
    <row r="149" customFormat="false" ht="15" hidden="false" customHeight="false" outlineLevel="0" collapsed="false">
      <c r="B149" s="2"/>
    </row>
    <row r="150" customFormat="false" ht="15" hidden="false" customHeight="false" outlineLevel="0" collapsed="false">
      <c r="B150" s="18" t="s">
        <v>204</v>
      </c>
    </row>
    <row r="151" customFormat="false" ht="15" hidden="false" customHeight="false" outlineLevel="0" collapsed="false">
      <c r="B151" s="2" t="s">
        <v>205</v>
      </c>
    </row>
    <row r="152" customFormat="false" ht="15" hidden="false" customHeight="false" outlineLevel="0" collapsed="false">
      <c r="B152" s="2" t="s">
        <v>206</v>
      </c>
    </row>
    <row r="153" customFormat="false" ht="15" hidden="false" customHeight="false" outlineLevel="0" collapsed="false">
      <c r="B153" s="2"/>
    </row>
    <row r="154" customFormat="false" ht="15" hidden="false" customHeight="false" outlineLevel="0" collapsed="false">
      <c r="B154" s="18" t="s">
        <v>207</v>
      </c>
    </row>
    <row r="155" customFormat="false" ht="15" hidden="false" customHeight="false" outlineLevel="0" collapsed="false">
      <c r="B155" s="2" t="s">
        <v>208</v>
      </c>
    </row>
    <row r="156" customFormat="false" ht="15" hidden="false" customHeight="false" outlineLevel="0" collapsed="false">
      <c r="B156" s="2" t="s">
        <v>209</v>
      </c>
    </row>
    <row r="157" customFormat="false" ht="15" hidden="false" customHeight="false" outlineLevel="0" collapsed="false">
      <c r="B157" s="2" t="s">
        <v>210</v>
      </c>
    </row>
    <row r="158" customFormat="false" ht="15" hidden="false" customHeight="false" outlineLevel="0" collapsed="false">
      <c r="B158" s="2" t="s">
        <v>211</v>
      </c>
    </row>
    <row r="160" customFormat="false" ht="15" hidden="false" customHeight="false" outlineLevel="0" collapsed="false">
      <c r="B160" s="18" t="s">
        <v>212</v>
      </c>
    </row>
    <row r="161" customFormat="false" ht="15" hidden="false" customHeight="false" outlineLevel="0" collapsed="false">
      <c r="B161" s="8" t="s">
        <v>213</v>
      </c>
    </row>
    <row r="162" customFormat="false" ht="15" hidden="false" customHeight="false" outlineLevel="0" collapsed="false">
      <c r="B162" s="8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5" min="3" style="0" width="14"/>
    <col collapsed="false" customWidth="true" hidden="false" outlineLevel="0" max="7" min="6" style="0" width="18"/>
    <col collapsed="false" customWidth="true" hidden="false" outlineLevel="0" max="8" min="8" style="0" width="16"/>
  </cols>
  <sheetData>
    <row r="2" customFormat="false" ht="17.35" hidden="false" customHeight="false" outlineLevel="0" collapsed="false">
      <c r="B2" s="1" t="s">
        <v>215</v>
      </c>
    </row>
    <row r="3" customFormat="false" ht="15" hidden="false" customHeight="false" outlineLevel="0" collapsed="false">
      <c r="B3" s="8" t="s">
        <v>216</v>
      </c>
    </row>
    <row r="5" customFormat="false" ht="15" hidden="false" customHeight="false" outlineLevel="0" collapsed="false">
      <c r="B5" s="18" t="s">
        <v>217</v>
      </c>
    </row>
    <row r="6" customFormat="false" ht="15" hidden="false" customHeight="false" outlineLevel="0" collapsed="false">
      <c r="B6" s="2" t="s">
        <v>218</v>
      </c>
      <c r="C6" s="46" t="n">
        <f aca="false">Parametros!$C$13</f>
        <v>0.006</v>
      </c>
    </row>
    <row r="7" customFormat="false" ht="15" hidden="false" customHeight="false" outlineLevel="0" collapsed="false">
      <c r="B7" s="2" t="s">
        <v>219</v>
      </c>
      <c r="C7" s="47" t="n">
        <f aca="false">Parametros!$C$12</f>
        <v>10</v>
      </c>
    </row>
    <row r="8" customFormat="false" ht="15" hidden="false" customHeight="false" outlineLevel="0" collapsed="false">
      <c r="B8" s="2" t="s">
        <v>220</v>
      </c>
      <c r="C8" s="48" t="n">
        <f aca="false">Parametros!$C$15</f>
        <v>0.7</v>
      </c>
    </row>
    <row r="9" customFormat="false" ht="15" hidden="false" customHeight="false" outlineLevel="0" collapsed="false">
      <c r="B9" s="2" t="s">
        <v>221</v>
      </c>
      <c r="C9" s="38" t="n">
        <f aca="false">Modelo_SIRD!$D$128</f>
        <v>19509570.6048333</v>
      </c>
    </row>
    <row r="10" customFormat="false" ht="15" hidden="false" customHeight="false" outlineLevel="0" collapsed="false">
      <c r="B10" s="2" t="s">
        <v>222</v>
      </c>
      <c r="C10" s="40" t="n">
        <f aca="false">Modelo_SIRD!$D$128/Parametros!$C$6</f>
        <v>0.428684502550088</v>
      </c>
    </row>
    <row r="11" customFormat="false" ht="15" hidden="false" customHeight="false" outlineLevel="0" collapsed="false">
      <c r="B11" s="2" t="s">
        <v>223</v>
      </c>
      <c r="C11" s="38" t="n">
        <f aca="false">Modelo_SIRD!$D$129</f>
        <v>111001.427596249</v>
      </c>
    </row>
    <row r="13" customFormat="false" ht="15" hidden="false" customHeight="false" outlineLevel="0" collapsed="false">
      <c r="B13" s="18" t="s">
        <v>224</v>
      </c>
    </row>
    <row r="14" customFormat="false" ht="15" hidden="false" customHeight="false" outlineLevel="0" collapsed="false">
      <c r="B14" s="8" t="s">
        <v>225</v>
      </c>
    </row>
    <row r="15" customFormat="false" ht="15" hidden="false" customHeight="false" outlineLevel="0" collapsed="false">
      <c r="B15" s="21" t="s">
        <v>226</v>
      </c>
      <c r="C15" s="21" t="s">
        <v>227</v>
      </c>
      <c r="D15" s="21" t="s">
        <v>228</v>
      </c>
      <c r="E15" s="21" t="s">
        <v>229</v>
      </c>
      <c r="F15" s="21" t="s">
        <v>230</v>
      </c>
      <c r="G15" s="21" t="s">
        <v>222</v>
      </c>
      <c r="H15" s="21" t="s">
        <v>231</v>
      </c>
    </row>
    <row r="16" customFormat="false" ht="15" hidden="false" customHeight="false" outlineLevel="0" collapsed="false">
      <c r="B16" s="2" t="s">
        <v>232</v>
      </c>
      <c r="C16" s="49" t="n">
        <v>0.006</v>
      </c>
      <c r="D16" s="23" t="n">
        <v>10</v>
      </c>
      <c r="E16" s="9" t="n">
        <v>0.7</v>
      </c>
      <c r="F16" s="50"/>
      <c r="G16" s="51"/>
      <c r="H16" s="19"/>
    </row>
    <row r="17" customFormat="false" ht="15" hidden="false" customHeight="false" outlineLevel="0" collapsed="false">
      <c r="B17" s="2" t="s">
        <v>233</v>
      </c>
      <c r="C17" s="49" t="n">
        <v>0.004</v>
      </c>
      <c r="D17" s="23" t="n">
        <v>10</v>
      </c>
      <c r="E17" s="9" t="n">
        <v>0.7</v>
      </c>
      <c r="F17" s="50"/>
      <c r="G17" s="51"/>
      <c r="H17" s="19"/>
    </row>
    <row r="18" customFormat="false" ht="15" hidden="false" customHeight="false" outlineLevel="0" collapsed="false">
      <c r="B18" s="2" t="s">
        <v>234</v>
      </c>
      <c r="C18" s="49" t="n">
        <v>0.009</v>
      </c>
      <c r="D18" s="23" t="n">
        <v>10</v>
      </c>
      <c r="E18" s="9" t="n">
        <v>0.7</v>
      </c>
      <c r="F18" s="50"/>
      <c r="G18" s="51"/>
      <c r="H18" s="19"/>
    </row>
    <row r="19" customFormat="false" ht="15" hidden="false" customHeight="false" outlineLevel="0" collapsed="false">
      <c r="B19" s="2" t="s">
        <v>235</v>
      </c>
      <c r="C19" s="49" t="n">
        <v>0.006</v>
      </c>
      <c r="D19" s="23" t="n">
        <v>7</v>
      </c>
      <c r="E19" s="9" t="n">
        <v>0.7</v>
      </c>
      <c r="F19" s="50"/>
      <c r="G19" s="51"/>
      <c r="H19" s="19"/>
    </row>
    <row r="20" customFormat="false" ht="15" hidden="false" customHeight="false" outlineLevel="0" collapsed="false">
      <c r="B20" s="2" t="s">
        <v>236</v>
      </c>
      <c r="C20" s="49" t="n">
        <v>0.006</v>
      </c>
      <c r="D20" s="23" t="n">
        <v>14</v>
      </c>
      <c r="E20" s="9" t="n">
        <v>0.7</v>
      </c>
      <c r="F20" s="50"/>
      <c r="G20" s="51"/>
      <c r="H20" s="19"/>
    </row>
    <row r="21" customFormat="false" ht="15" hidden="false" customHeight="false" outlineLevel="0" collapsed="false">
      <c r="B21" s="2" t="s">
        <v>237</v>
      </c>
      <c r="C21" s="49" t="n">
        <v>0.006</v>
      </c>
      <c r="D21" s="23" t="n">
        <v>10</v>
      </c>
      <c r="E21" s="9" t="n">
        <v>0.6</v>
      </c>
      <c r="F21" s="50"/>
      <c r="G21" s="51"/>
      <c r="H21" s="19"/>
    </row>
    <row r="22" customFormat="false" ht="15" hidden="false" customHeight="false" outlineLevel="0" collapsed="false">
      <c r="B22" s="2" t="s">
        <v>238</v>
      </c>
      <c r="C22" s="49" t="n">
        <v>0.006</v>
      </c>
      <c r="D22" s="23" t="n">
        <v>10</v>
      </c>
      <c r="E22" s="9" t="n">
        <v>0.8</v>
      </c>
      <c r="F22" s="50"/>
      <c r="G22" s="51"/>
      <c r="H22" s="19"/>
    </row>
    <row r="23" customFormat="false" ht="15" hidden="false" customHeight="false" outlineLevel="0" collapsed="false">
      <c r="B23" s="2" t="s">
        <v>239</v>
      </c>
      <c r="C23" s="49" t="n">
        <v>0.009</v>
      </c>
      <c r="D23" s="23" t="n">
        <v>14</v>
      </c>
      <c r="E23" s="9" t="n">
        <v>0.6</v>
      </c>
      <c r="F23" s="50"/>
      <c r="G23" s="51"/>
      <c r="H23" s="19"/>
    </row>
    <row r="24" customFormat="false" ht="15" hidden="false" customHeight="false" outlineLevel="0" collapsed="false">
      <c r="B24" s="2" t="s">
        <v>240</v>
      </c>
      <c r="C24" s="49" t="n">
        <v>0.004</v>
      </c>
      <c r="D24" s="23" t="n">
        <v>7</v>
      </c>
      <c r="E24" s="9" t="n">
        <v>0.8</v>
      </c>
      <c r="F24" s="50"/>
      <c r="G24" s="51"/>
      <c r="H24" s="19"/>
    </row>
    <row r="26" customFormat="false" ht="15" hidden="false" customHeight="false" outlineLevel="0" collapsed="false">
      <c r="B26" s="8" t="s">
        <v>241</v>
      </c>
    </row>
    <row r="27" customFormat="false" ht="15" hidden="false" customHeight="false" outlineLevel="0" collapsed="false">
      <c r="B27" s="8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243</v>
      </c>
    </row>
    <row r="4" customFormat="false" ht="15" hidden="false" customHeight="false" outlineLevel="0" collapsed="false">
      <c r="B4" s="6" t="s">
        <v>244</v>
      </c>
    </row>
    <row r="5" customFormat="false" ht="24" hidden="false" customHeight="true" outlineLevel="0" collapsed="false">
      <c r="B5" s="42" t="s">
        <v>245</v>
      </c>
      <c r="C5" s="52" t="s">
        <v>246</v>
      </c>
    </row>
    <row r="6" customFormat="false" ht="15" hidden="false" customHeight="true" outlineLevel="0" collapsed="false">
      <c r="B6" s="42" t="s">
        <v>247</v>
      </c>
      <c r="C6" s="52" t="s">
        <v>248</v>
      </c>
    </row>
    <row r="8" customFormat="false" ht="15" hidden="false" customHeight="false" outlineLevel="0" collapsed="false">
      <c r="B8" s="6" t="s">
        <v>249</v>
      </c>
    </row>
    <row r="9" customFormat="false" ht="48" hidden="false" customHeight="true" outlineLevel="0" collapsed="false">
      <c r="B9" s="42" t="s">
        <v>250</v>
      </c>
      <c r="C9" s="52" t="s">
        <v>251</v>
      </c>
    </row>
    <row r="10" customFormat="false" ht="36" hidden="false" customHeight="true" outlineLevel="0" collapsed="false">
      <c r="B10" s="42" t="s">
        <v>252</v>
      </c>
      <c r="C10" s="52" t="s">
        <v>253</v>
      </c>
    </row>
    <row r="12" customFormat="false" ht="15" hidden="false" customHeight="false" outlineLevel="0" collapsed="false">
      <c r="B12" s="6" t="s">
        <v>254</v>
      </c>
    </row>
    <row r="13" customFormat="false" ht="60" hidden="false" customHeight="true" outlineLevel="0" collapsed="false">
      <c r="B13" s="42" t="s">
        <v>255</v>
      </c>
      <c r="C13" s="52" t="s">
        <v>256</v>
      </c>
    </row>
    <row r="14" customFormat="false" ht="36" hidden="false" customHeight="true" outlineLevel="0" collapsed="false">
      <c r="B14" s="42" t="s">
        <v>257</v>
      </c>
      <c r="C14" s="52" t="s">
        <v>258</v>
      </c>
    </row>
    <row r="16" customFormat="false" ht="15" hidden="false" customHeight="false" outlineLevel="0" collapsed="false">
      <c r="B16" s="6" t="s">
        <v>259</v>
      </c>
    </row>
    <row r="17" customFormat="false" ht="48" hidden="false" customHeight="true" outlineLevel="0" collapsed="false">
      <c r="B17" s="42" t="s">
        <v>260</v>
      </c>
      <c r="C17" s="52" t="s">
        <v>261</v>
      </c>
    </row>
    <row r="18" customFormat="false" ht="24" hidden="false" customHeight="true" outlineLevel="0" collapsed="false">
      <c r="B18" s="42" t="s">
        <v>262</v>
      </c>
      <c r="C18" s="52" t="s">
        <v>263</v>
      </c>
    </row>
    <row r="20" customFormat="false" ht="15" hidden="false" customHeight="false" outlineLevel="0" collapsed="false">
      <c r="B20" s="6" t="s">
        <v>264</v>
      </c>
    </row>
    <row r="21" customFormat="false" ht="36" hidden="false" customHeight="true" outlineLevel="0" collapsed="false">
      <c r="B21" s="42" t="s">
        <v>265</v>
      </c>
      <c r="C21" s="52" t="s">
        <v>266</v>
      </c>
    </row>
    <row r="22" customFormat="false" ht="48" hidden="false" customHeight="true" outlineLevel="0" collapsed="false">
      <c r="B22" s="42" t="s">
        <v>267</v>
      </c>
      <c r="C22" s="52" t="s">
        <v>268</v>
      </c>
    </row>
    <row r="24" customFormat="false" ht="15" hidden="false" customHeight="false" outlineLevel="0" collapsed="false">
      <c r="B24" s="6" t="s">
        <v>269</v>
      </c>
    </row>
    <row r="25" customFormat="false" ht="24" hidden="false" customHeight="true" outlineLevel="0" collapsed="false">
      <c r="B25" s="42" t="s">
        <v>270</v>
      </c>
      <c r="C25" s="52" t="s">
        <v>271</v>
      </c>
    </row>
    <row r="26" customFormat="false" ht="15" hidden="false" customHeight="true" outlineLevel="0" collapsed="false">
      <c r="B26" s="42" t="s">
        <v>272</v>
      </c>
      <c r="C26" s="52" t="s">
        <v>273</v>
      </c>
    </row>
    <row r="27" customFormat="false" ht="36" hidden="false" customHeight="true" outlineLevel="0" collapsed="false">
      <c r="B27" s="42" t="s">
        <v>274</v>
      </c>
      <c r="C27" s="52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9864FA26A7994DADC2D2C8E49607F1" ma:contentTypeVersion="17" ma:contentTypeDescription="Create a new document." ma:contentTypeScope="" ma:versionID="d1da8e207b9531e5c19e123cd6252dfd">
  <xsd:schema xmlns:xsd="http://www.w3.org/2001/XMLSchema" xmlns:xs="http://www.w3.org/2001/XMLSchema" xmlns:p="http://schemas.microsoft.com/office/2006/metadata/properties" xmlns:ns2="6b5c6959-2fde-4778-a327-d50eaaebd434" xmlns:ns3="de237af6-5ee7-4b57-be31-5cf9b6f48079" targetNamespace="http://schemas.microsoft.com/office/2006/metadata/properties" ma:root="true" ma:fieldsID="b5809f52823b61ade276e6ff8a904ff4" ns2:_="" ns3:_="">
    <xsd:import namespace="6b5c6959-2fde-4778-a327-d50eaaebd434"/>
    <xsd:import namespace="de237af6-5ee7-4b57-be31-5cf9b6f480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5c6959-2fde-4778-a327-d50eaaebd4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237af6-5ee7-4b57-be31-5cf9b6f4807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ec50c0b-9c65-48e4-8b95-48ff6d2cc41a}" ma:internalName="TaxCatchAll" ma:showField="CatchAllData" ma:web="de237af6-5ee7-4b57-be31-5cf9b6f480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237af6-5ee7-4b57-be31-5cf9b6f48079" xsi:nil="true"/>
    <lcf76f155ced4ddcb4097134ff3c332f xmlns="6b5c6959-2fde-4778-a327-d50eaaebd4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01ACDB-439F-4AD1-864D-3F54ECCC816D}"/>
</file>

<file path=customXml/itemProps2.xml><?xml version="1.0" encoding="utf-8"?>
<ds:datastoreItem xmlns:ds="http://schemas.openxmlformats.org/officeDocument/2006/customXml" ds:itemID="{5B41A349-C6FF-42FB-A1FE-E989A824F349}"/>
</file>

<file path=customXml/itemProps3.xml><?xml version="1.0" encoding="utf-8"?>
<ds:datastoreItem xmlns:ds="http://schemas.openxmlformats.org/officeDocument/2006/customXml" ds:itemID="{778C9E0E-15FE-4A27-BD9F-E9D4E67CCE5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2026-07-23T19:05:07Z</dcterms:created>
  <dcterms:modified xsi:type="dcterms:W3CDTF">2026-07-23T19:05:09Z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0x010100A89864FA26A7994DADC2D2C8E49607F1</vt:lpwstr>
  </property>
</Properties>
</file>